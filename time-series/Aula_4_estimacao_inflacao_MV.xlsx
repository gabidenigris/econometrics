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tacio-my.sharepoint.com/personal/03603833430_professores_ibmec_edu_br/Documents/Econometria II 26.1/"/>
    </mc:Choice>
  </mc:AlternateContent>
  <xr:revisionPtr revIDLastSave="2" documentId="8_{AF306C74-2831-4AF6-89B7-1D897D770C7E}" xr6:coauthVersionLast="47" xr6:coauthVersionMax="47" xr10:uidLastSave="{4C0C2052-00DD-495B-89F9-E1DF578CA54F}"/>
  <bookViews>
    <workbookView xWindow="-120" yWindow="-120" windowWidth="20730" windowHeight="11040" activeTab="1" xr2:uid="{4B3A8717-3F35-4EA7-9016-1927670C7D29}"/>
  </bookViews>
  <sheets>
    <sheet name="dados brutos" sheetId="1" r:id="rId1"/>
    <sheet name="assume e estima AR(1)" sheetId="2" r:id="rId2"/>
  </sheets>
  <definedNames>
    <definedName name="solver_adj" localSheetId="1" hidden="1">'assume e estima AR(1)'!$E$4:$E$5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'assume e estima AR(1)'!$E$8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'assume e estima AR(1)'!$N$3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hs1" localSheetId="1" hidden="1">0.01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2" l="1"/>
  <c r="H327" i="2"/>
  <c r="I327" i="2" s="1"/>
  <c r="H326" i="2"/>
  <c r="I326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" i="2"/>
  <c r="I3" i="2" s="1"/>
  <c r="E8" i="2" l="1"/>
  <c r="E7" i="2"/>
  <c r="J3" i="2" l="1"/>
  <c r="J250" i="2"/>
  <c r="K250" i="2" s="1"/>
  <c r="J269" i="2"/>
  <c r="K269" i="2" s="1"/>
  <c r="J137" i="2"/>
  <c r="K137" i="2" s="1"/>
  <c r="J13" i="2"/>
  <c r="K13" i="2" s="1"/>
  <c r="J33" i="2"/>
  <c r="K33" i="2" s="1"/>
  <c r="J57" i="2"/>
  <c r="K57" i="2" s="1"/>
  <c r="J77" i="2"/>
  <c r="K77" i="2" s="1"/>
  <c r="J97" i="2"/>
  <c r="K97" i="2" s="1"/>
  <c r="J121" i="2"/>
  <c r="K121" i="2" s="1"/>
  <c r="J141" i="2"/>
  <c r="K141" i="2" s="1"/>
  <c r="J161" i="2"/>
  <c r="K161" i="2" s="1"/>
  <c r="J189" i="2"/>
  <c r="K189" i="2" s="1"/>
  <c r="J209" i="2"/>
  <c r="K209" i="2" s="1"/>
  <c r="J229" i="2"/>
  <c r="K229" i="2" s="1"/>
  <c r="J253" i="2"/>
  <c r="K253" i="2" s="1"/>
  <c r="J14" i="2"/>
  <c r="K14" i="2" s="1"/>
  <c r="J34" i="2"/>
  <c r="K34" i="2" s="1"/>
  <c r="J58" i="2"/>
  <c r="K58" i="2" s="1"/>
  <c r="J78" i="2"/>
  <c r="K78" i="2" s="1"/>
  <c r="J98" i="2"/>
  <c r="K98" i="2" s="1"/>
  <c r="J126" i="2"/>
  <c r="K126" i="2" s="1"/>
  <c r="J158" i="2"/>
  <c r="K158" i="2" s="1"/>
  <c r="J190" i="2"/>
  <c r="K190" i="2" s="1"/>
  <c r="J222" i="2"/>
  <c r="K222" i="2" s="1"/>
  <c r="J254" i="2"/>
  <c r="K254" i="2" s="1"/>
  <c r="J286" i="2"/>
  <c r="K286" i="2" s="1"/>
  <c r="J318" i="2"/>
  <c r="K318" i="2" s="1"/>
  <c r="J15" i="2"/>
  <c r="K15" i="2" s="1"/>
  <c r="J47" i="2"/>
  <c r="K47" i="2" s="1"/>
  <c r="J79" i="2"/>
  <c r="K79" i="2" s="1"/>
  <c r="J111" i="2"/>
  <c r="K111" i="2" s="1"/>
  <c r="J143" i="2"/>
  <c r="K143" i="2" s="1"/>
  <c r="J207" i="2"/>
  <c r="K207" i="2" s="1"/>
  <c r="J12" i="2"/>
  <c r="K12" i="2" s="1"/>
  <c r="J76" i="2"/>
  <c r="K76" i="2" s="1"/>
  <c r="J140" i="2"/>
  <c r="K140" i="2" s="1"/>
  <c r="J204" i="2"/>
  <c r="K204" i="2" s="1"/>
  <c r="J268" i="2"/>
  <c r="K268" i="2" s="1"/>
  <c r="J271" i="2"/>
  <c r="K271" i="2" s="1"/>
  <c r="J326" i="2"/>
  <c r="K326" i="2" s="1"/>
  <c r="J325" i="2"/>
  <c r="K325" i="2" s="1"/>
  <c r="J309" i="2"/>
  <c r="K309" i="2" s="1"/>
  <c r="J293" i="2"/>
  <c r="K293" i="2" s="1"/>
  <c r="J277" i="2"/>
  <c r="K277" i="2" s="1"/>
  <c r="J169" i="2"/>
  <c r="K169" i="2" s="1"/>
  <c r="J315" i="2"/>
  <c r="K315" i="2" s="1"/>
  <c r="J299" i="2"/>
  <c r="K299" i="2" s="1"/>
  <c r="J283" i="2"/>
  <c r="K283" i="2" s="1"/>
  <c r="J324" i="2"/>
  <c r="K324" i="2" s="1"/>
  <c r="J308" i="2"/>
  <c r="K308" i="2" s="1"/>
  <c r="J292" i="2"/>
  <c r="K292" i="2" s="1"/>
  <c r="J276" i="2"/>
  <c r="K276" i="2" s="1"/>
  <c r="J260" i="2"/>
  <c r="K260" i="2" s="1"/>
  <c r="J244" i="2"/>
  <c r="K244" i="2" s="1"/>
  <c r="J228" i="2"/>
  <c r="K228" i="2" s="1"/>
  <c r="J212" i="2"/>
  <c r="K212" i="2" s="1"/>
  <c r="J196" i="2"/>
  <c r="K196" i="2" s="1"/>
  <c r="J180" i="2"/>
  <c r="K180" i="2" s="1"/>
  <c r="J164" i="2"/>
  <c r="K164" i="2" s="1"/>
  <c r="J148" i="2"/>
  <c r="K148" i="2" s="1"/>
  <c r="J132" i="2"/>
  <c r="K132" i="2" s="1"/>
  <c r="J116" i="2"/>
  <c r="K116" i="2" s="1"/>
  <c r="J100" i="2"/>
  <c r="K100" i="2" s="1"/>
  <c r="J84" i="2"/>
  <c r="K84" i="2" s="1"/>
  <c r="J68" i="2"/>
  <c r="K68" i="2" s="1"/>
  <c r="J52" i="2"/>
  <c r="K52" i="2" s="1"/>
  <c r="J36" i="2"/>
  <c r="K36" i="2" s="1"/>
  <c r="J20" i="2"/>
  <c r="K20" i="2" s="1"/>
  <c r="J4" i="2"/>
  <c r="K4" i="2" s="1"/>
  <c r="J247" i="2"/>
  <c r="K247" i="2" s="1"/>
  <c r="J231" i="2"/>
  <c r="K231" i="2" s="1"/>
  <c r="J215" i="2"/>
  <c r="K215" i="2" s="1"/>
  <c r="J199" i="2"/>
  <c r="K199" i="2" s="1"/>
  <c r="J183" i="2"/>
  <c r="K183" i="2" s="1"/>
  <c r="J167" i="2"/>
  <c r="K167" i="2" s="1"/>
  <c r="J147" i="2"/>
  <c r="K147" i="2" s="1"/>
  <c r="J131" i="2"/>
  <c r="K131" i="2" s="1"/>
  <c r="J115" i="2"/>
  <c r="K115" i="2" s="1"/>
  <c r="J99" i="2"/>
  <c r="K99" i="2" s="1"/>
  <c r="J83" i="2"/>
  <c r="K83" i="2" s="1"/>
  <c r="J67" i="2"/>
  <c r="K67" i="2" s="1"/>
  <c r="J51" i="2"/>
  <c r="K51" i="2" s="1"/>
  <c r="J35" i="2"/>
  <c r="K35" i="2" s="1"/>
  <c r="J19" i="2"/>
  <c r="K19" i="2" s="1"/>
  <c r="J263" i="2"/>
  <c r="K263" i="2" s="1"/>
  <c r="J322" i="2"/>
  <c r="K322" i="2" s="1"/>
  <c r="J306" i="2"/>
  <c r="K306" i="2" s="1"/>
  <c r="J290" i="2"/>
  <c r="K290" i="2" s="1"/>
  <c r="J274" i="2"/>
  <c r="K274" i="2" s="1"/>
  <c r="J258" i="2"/>
  <c r="K258" i="2" s="1"/>
  <c r="J242" i="2"/>
  <c r="K242" i="2" s="1"/>
  <c r="J226" i="2"/>
  <c r="K226" i="2" s="1"/>
  <c r="J210" i="2"/>
  <c r="K210" i="2" s="1"/>
  <c r="J194" i="2"/>
  <c r="K194" i="2" s="1"/>
  <c r="J178" i="2"/>
  <c r="K178" i="2" s="1"/>
  <c r="J162" i="2"/>
  <c r="K162" i="2" s="1"/>
  <c r="J146" i="2"/>
  <c r="K146" i="2" s="1"/>
  <c r="J130" i="2"/>
  <c r="K130" i="2" s="1"/>
  <c r="J114" i="2"/>
  <c r="K114" i="2" s="1"/>
  <c r="J321" i="2"/>
  <c r="K321" i="2" s="1"/>
  <c r="J305" i="2"/>
  <c r="K305" i="2" s="1"/>
  <c r="J289" i="2"/>
  <c r="K289" i="2" s="1"/>
  <c r="J273" i="2"/>
  <c r="K273" i="2" s="1"/>
  <c r="J275" i="2"/>
  <c r="K275" i="2" s="1"/>
  <c r="J311" i="2"/>
  <c r="K311" i="2" s="1"/>
  <c r="J295" i="2"/>
  <c r="K295" i="2" s="1"/>
  <c r="J279" i="2"/>
  <c r="K279" i="2" s="1"/>
  <c r="J320" i="2"/>
  <c r="K320" i="2" s="1"/>
  <c r="J304" i="2"/>
  <c r="K304" i="2" s="1"/>
  <c r="J288" i="2"/>
  <c r="K288" i="2" s="1"/>
  <c r="J272" i="2"/>
  <c r="K272" i="2" s="1"/>
  <c r="J256" i="2"/>
  <c r="K256" i="2" s="1"/>
  <c r="J240" i="2"/>
  <c r="K240" i="2" s="1"/>
  <c r="J224" i="2"/>
  <c r="K224" i="2" s="1"/>
  <c r="J208" i="2"/>
  <c r="K208" i="2" s="1"/>
  <c r="J192" i="2"/>
  <c r="K192" i="2" s="1"/>
  <c r="J176" i="2"/>
  <c r="K176" i="2" s="1"/>
  <c r="J160" i="2"/>
  <c r="K160" i="2" s="1"/>
  <c r="J144" i="2"/>
  <c r="K144" i="2" s="1"/>
  <c r="J128" i="2"/>
  <c r="K128" i="2" s="1"/>
  <c r="J112" i="2"/>
  <c r="K112" i="2" s="1"/>
  <c r="J96" i="2"/>
  <c r="K96" i="2" s="1"/>
  <c r="J80" i="2"/>
  <c r="K80" i="2" s="1"/>
  <c r="J64" i="2"/>
  <c r="K64" i="2" s="1"/>
  <c r="J48" i="2"/>
  <c r="K48" i="2" s="1"/>
  <c r="J32" i="2"/>
  <c r="K32" i="2" s="1"/>
  <c r="J16" i="2"/>
  <c r="K16" i="2" s="1"/>
  <c r="J267" i="2"/>
  <c r="K267" i="2" s="1"/>
  <c r="J243" i="2"/>
  <c r="K243" i="2" s="1"/>
  <c r="J227" i="2"/>
  <c r="K227" i="2" s="1"/>
  <c r="J211" i="2"/>
  <c r="K211" i="2" s="1"/>
  <c r="J195" i="2"/>
  <c r="K195" i="2" s="1"/>
  <c r="J179" i="2"/>
  <c r="K179" i="2" s="1"/>
  <c r="J163" i="2"/>
  <c r="K163" i="2" s="1"/>
  <c r="J313" i="2"/>
  <c r="K313" i="2" s="1"/>
  <c r="J297" i="2"/>
  <c r="K297" i="2" s="1"/>
  <c r="J281" i="2"/>
  <c r="K281" i="2" s="1"/>
  <c r="J265" i="2"/>
  <c r="K265" i="2" s="1"/>
  <c r="J319" i="2"/>
  <c r="K319" i="2" s="1"/>
  <c r="J303" i="2"/>
  <c r="K303" i="2" s="1"/>
  <c r="J287" i="2"/>
  <c r="K287" i="2" s="1"/>
  <c r="J261" i="2"/>
  <c r="K261" i="2" s="1"/>
  <c r="J312" i="2"/>
  <c r="K312" i="2" s="1"/>
  <c r="J296" i="2"/>
  <c r="K296" i="2" s="1"/>
  <c r="J280" i="2"/>
  <c r="K280" i="2" s="1"/>
  <c r="J264" i="2"/>
  <c r="K264" i="2" s="1"/>
  <c r="J248" i="2"/>
  <c r="K248" i="2" s="1"/>
  <c r="J232" i="2"/>
  <c r="K232" i="2" s="1"/>
  <c r="J216" i="2"/>
  <c r="K216" i="2" s="1"/>
  <c r="J200" i="2"/>
  <c r="K200" i="2" s="1"/>
  <c r="J184" i="2"/>
  <c r="K184" i="2" s="1"/>
  <c r="J168" i="2"/>
  <c r="K168" i="2" s="1"/>
  <c r="J152" i="2"/>
  <c r="K152" i="2" s="1"/>
  <c r="J136" i="2"/>
  <c r="K136" i="2" s="1"/>
  <c r="J120" i="2"/>
  <c r="K120" i="2" s="1"/>
  <c r="J104" i="2"/>
  <c r="K104" i="2" s="1"/>
  <c r="J88" i="2"/>
  <c r="K88" i="2" s="1"/>
  <c r="J72" i="2"/>
  <c r="K72" i="2" s="1"/>
  <c r="J56" i="2"/>
  <c r="K56" i="2" s="1"/>
  <c r="J40" i="2"/>
  <c r="K40" i="2" s="1"/>
  <c r="J24" i="2"/>
  <c r="K24" i="2" s="1"/>
  <c r="J8" i="2"/>
  <c r="K8" i="2" s="1"/>
  <c r="J255" i="2"/>
  <c r="K255" i="2" s="1"/>
  <c r="J235" i="2"/>
  <c r="K235" i="2" s="1"/>
  <c r="J219" i="2"/>
  <c r="K219" i="2" s="1"/>
  <c r="J203" i="2"/>
  <c r="K203" i="2" s="1"/>
  <c r="J187" i="2"/>
  <c r="K187" i="2" s="1"/>
  <c r="J171" i="2"/>
  <c r="K171" i="2" s="1"/>
  <c r="J155" i="2"/>
  <c r="K155" i="2" s="1"/>
  <c r="J135" i="2"/>
  <c r="K135" i="2" s="1"/>
  <c r="J119" i="2"/>
  <c r="K119" i="2" s="1"/>
  <c r="J103" i="2"/>
  <c r="K103" i="2" s="1"/>
  <c r="J87" i="2"/>
  <c r="K87" i="2" s="1"/>
  <c r="J71" i="2"/>
  <c r="K71" i="2" s="1"/>
  <c r="J55" i="2"/>
  <c r="K55" i="2" s="1"/>
  <c r="J39" i="2"/>
  <c r="K39" i="2" s="1"/>
  <c r="J23" i="2"/>
  <c r="K23" i="2" s="1"/>
  <c r="J7" i="2"/>
  <c r="K7" i="2" s="1"/>
  <c r="K3" i="2"/>
  <c r="J310" i="2"/>
  <c r="K310" i="2" s="1"/>
  <c r="J294" i="2"/>
  <c r="K294" i="2" s="1"/>
  <c r="J278" i="2"/>
  <c r="K278" i="2" s="1"/>
  <c r="J262" i="2"/>
  <c r="K262" i="2" s="1"/>
  <c r="J246" i="2"/>
  <c r="K246" i="2" s="1"/>
  <c r="J230" i="2"/>
  <c r="K230" i="2" s="1"/>
  <c r="J214" i="2"/>
  <c r="K214" i="2" s="1"/>
  <c r="J198" i="2"/>
  <c r="K198" i="2" s="1"/>
  <c r="J182" i="2"/>
  <c r="K182" i="2" s="1"/>
  <c r="J166" i="2"/>
  <c r="K166" i="2" s="1"/>
  <c r="J150" i="2"/>
  <c r="K150" i="2" s="1"/>
  <c r="J134" i="2"/>
  <c r="K134" i="2" s="1"/>
  <c r="J118" i="2"/>
  <c r="K118" i="2" s="1"/>
  <c r="J102" i="2"/>
  <c r="K102" i="2" s="1"/>
  <c r="J86" i="2"/>
  <c r="K86" i="2" s="1"/>
  <c r="J70" i="2"/>
  <c r="K70" i="2" s="1"/>
  <c r="J54" i="2"/>
  <c r="K54" i="2" s="1"/>
  <c r="J38" i="2"/>
  <c r="K38" i="2" s="1"/>
  <c r="J22" i="2"/>
  <c r="K22" i="2" s="1"/>
  <c r="J6" i="2"/>
  <c r="K6" i="2" s="1"/>
  <c r="J249" i="2"/>
  <c r="K249" i="2" s="1"/>
  <c r="J233" i="2"/>
  <c r="K233" i="2" s="1"/>
  <c r="J217" i="2"/>
  <c r="K217" i="2" s="1"/>
  <c r="J201" i="2"/>
  <c r="K201" i="2" s="1"/>
  <c r="J185" i="2"/>
  <c r="K185" i="2" s="1"/>
  <c r="J165" i="2"/>
  <c r="K165" i="2" s="1"/>
  <c r="J149" i="2"/>
  <c r="K149" i="2" s="1"/>
  <c r="J133" i="2"/>
  <c r="K133" i="2" s="1"/>
  <c r="J117" i="2"/>
  <c r="K117" i="2" s="1"/>
  <c r="J101" i="2"/>
  <c r="K101" i="2" s="1"/>
  <c r="J85" i="2"/>
  <c r="K85" i="2" s="1"/>
  <c r="J69" i="2"/>
  <c r="K69" i="2" s="1"/>
  <c r="J53" i="2"/>
  <c r="K53" i="2" s="1"/>
  <c r="J37" i="2"/>
  <c r="K37" i="2" s="1"/>
  <c r="J21" i="2"/>
  <c r="K21" i="2" s="1"/>
  <c r="J5" i="2"/>
  <c r="K5" i="2" s="1"/>
  <c r="J17" i="2"/>
  <c r="K17" i="2" s="1"/>
  <c r="J41" i="2"/>
  <c r="K41" i="2" s="1"/>
  <c r="J61" i="2"/>
  <c r="K61" i="2" s="1"/>
  <c r="J81" i="2"/>
  <c r="K81" i="2" s="1"/>
  <c r="J105" i="2"/>
  <c r="K105" i="2" s="1"/>
  <c r="J125" i="2"/>
  <c r="K125" i="2" s="1"/>
  <c r="J145" i="2"/>
  <c r="K145" i="2" s="1"/>
  <c r="J173" i="2"/>
  <c r="K173" i="2" s="1"/>
  <c r="J193" i="2"/>
  <c r="K193" i="2" s="1"/>
  <c r="J213" i="2"/>
  <c r="K213" i="2" s="1"/>
  <c r="J237" i="2"/>
  <c r="K237" i="2" s="1"/>
  <c r="J257" i="2"/>
  <c r="K257" i="2" s="1"/>
  <c r="J18" i="2"/>
  <c r="K18" i="2" s="1"/>
  <c r="J42" i="2"/>
  <c r="K42" i="2" s="1"/>
  <c r="J62" i="2"/>
  <c r="K62" i="2" s="1"/>
  <c r="J82" i="2"/>
  <c r="K82" i="2" s="1"/>
  <c r="J106" i="2"/>
  <c r="K106" i="2" s="1"/>
  <c r="J138" i="2"/>
  <c r="K138" i="2" s="1"/>
  <c r="J170" i="2"/>
  <c r="K170" i="2" s="1"/>
  <c r="J202" i="2"/>
  <c r="K202" i="2" s="1"/>
  <c r="J234" i="2"/>
  <c r="K234" i="2" s="1"/>
  <c r="J266" i="2"/>
  <c r="K266" i="2" s="1"/>
  <c r="J298" i="2"/>
  <c r="K298" i="2" s="1"/>
  <c r="J151" i="2"/>
  <c r="K151" i="2" s="1"/>
  <c r="J27" i="2"/>
  <c r="K27" i="2" s="1"/>
  <c r="J59" i="2"/>
  <c r="K59" i="2" s="1"/>
  <c r="J91" i="2"/>
  <c r="K91" i="2" s="1"/>
  <c r="J123" i="2"/>
  <c r="K123" i="2" s="1"/>
  <c r="J159" i="2"/>
  <c r="K159" i="2" s="1"/>
  <c r="J223" i="2"/>
  <c r="K223" i="2" s="1"/>
  <c r="J28" i="2"/>
  <c r="K28" i="2" s="1"/>
  <c r="J92" i="2"/>
  <c r="K92" i="2" s="1"/>
  <c r="J156" i="2"/>
  <c r="K156" i="2" s="1"/>
  <c r="J220" i="2"/>
  <c r="K220" i="2" s="1"/>
  <c r="J284" i="2"/>
  <c r="K284" i="2" s="1"/>
  <c r="J291" i="2"/>
  <c r="K291" i="2" s="1"/>
  <c r="J285" i="2"/>
  <c r="K285" i="2" s="1"/>
  <c r="J25" i="2"/>
  <c r="K25" i="2" s="1"/>
  <c r="J45" i="2"/>
  <c r="K45" i="2" s="1"/>
  <c r="J65" i="2"/>
  <c r="K65" i="2" s="1"/>
  <c r="J89" i="2"/>
  <c r="K89" i="2" s="1"/>
  <c r="J109" i="2"/>
  <c r="K109" i="2" s="1"/>
  <c r="J129" i="2"/>
  <c r="K129" i="2" s="1"/>
  <c r="J153" i="2"/>
  <c r="K153" i="2" s="1"/>
  <c r="J177" i="2"/>
  <c r="K177" i="2" s="1"/>
  <c r="J197" i="2"/>
  <c r="K197" i="2" s="1"/>
  <c r="J221" i="2"/>
  <c r="K221" i="2" s="1"/>
  <c r="J241" i="2"/>
  <c r="K241" i="2" s="1"/>
  <c r="J327" i="2"/>
  <c r="K327" i="2" s="1"/>
  <c r="J26" i="2"/>
  <c r="K26" i="2" s="1"/>
  <c r="J46" i="2"/>
  <c r="K46" i="2" s="1"/>
  <c r="J66" i="2"/>
  <c r="K66" i="2" s="1"/>
  <c r="J90" i="2"/>
  <c r="K90" i="2" s="1"/>
  <c r="J110" i="2"/>
  <c r="K110" i="2" s="1"/>
  <c r="J142" i="2"/>
  <c r="K142" i="2" s="1"/>
  <c r="J174" i="2"/>
  <c r="K174" i="2" s="1"/>
  <c r="J206" i="2"/>
  <c r="K206" i="2" s="1"/>
  <c r="J238" i="2"/>
  <c r="K238" i="2" s="1"/>
  <c r="J270" i="2"/>
  <c r="K270" i="2" s="1"/>
  <c r="J302" i="2"/>
  <c r="K302" i="2" s="1"/>
  <c r="J251" i="2"/>
  <c r="K251" i="2" s="1"/>
  <c r="J31" i="2"/>
  <c r="K31" i="2" s="1"/>
  <c r="J63" i="2"/>
  <c r="K63" i="2" s="1"/>
  <c r="J95" i="2"/>
  <c r="K95" i="2" s="1"/>
  <c r="J127" i="2"/>
  <c r="K127" i="2" s="1"/>
  <c r="J175" i="2"/>
  <c r="K175" i="2" s="1"/>
  <c r="J239" i="2"/>
  <c r="K239" i="2" s="1"/>
  <c r="J44" i="2"/>
  <c r="K44" i="2" s="1"/>
  <c r="J108" i="2"/>
  <c r="K108" i="2" s="1"/>
  <c r="J172" i="2"/>
  <c r="K172" i="2" s="1"/>
  <c r="J236" i="2"/>
  <c r="K236" i="2" s="1"/>
  <c r="J300" i="2"/>
  <c r="K300" i="2" s="1"/>
  <c r="J307" i="2"/>
  <c r="K307" i="2" s="1"/>
  <c r="J301" i="2"/>
  <c r="K301" i="2" s="1"/>
  <c r="J9" i="2"/>
  <c r="K9" i="2" s="1"/>
  <c r="J29" i="2"/>
  <c r="K29" i="2" s="1"/>
  <c r="J49" i="2"/>
  <c r="K49" i="2" s="1"/>
  <c r="J73" i="2"/>
  <c r="K73" i="2" s="1"/>
  <c r="J93" i="2"/>
  <c r="K93" i="2" s="1"/>
  <c r="J113" i="2"/>
  <c r="K113" i="2" s="1"/>
  <c r="J157" i="2"/>
  <c r="K157" i="2" s="1"/>
  <c r="J181" i="2"/>
  <c r="K181" i="2" s="1"/>
  <c r="J205" i="2"/>
  <c r="K205" i="2" s="1"/>
  <c r="J225" i="2"/>
  <c r="K225" i="2" s="1"/>
  <c r="J245" i="2"/>
  <c r="K245" i="2" s="1"/>
  <c r="J10" i="2"/>
  <c r="K10" i="2" s="1"/>
  <c r="J30" i="2"/>
  <c r="K30" i="2" s="1"/>
  <c r="J50" i="2"/>
  <c r="K50" i="2" s="1"/>
  <c r="J74" i="2"/>
  <c r="K74" i="2" s="1"/>
  <c r="J94" i="2"/>
  <c r="K94" i="2" s="1"/>
  <c r="J122" i="2"/>
  <c r="K122" i="2" s="1"/>
  <c r="J154" i="2"/>
  <c r="K154" i="2" s="1"/>
  <c r="J186" i="2"/>
  <c r="K186" i="2" s="1"/>
  <c r="J218" i="2"/>
  <c r="K218" i="2" s="1"/>
  <c r="J282" i="2"/>
  <c r="K282" i="2" s="1"/>
  <c r="J314" i="2"/>
  <c r="K314" i="2" s="1"/>
  <c r="J11" i="2"/>
  <c r="K11" i="2" s="1"/>
  <c r="J43" i="2"/>
  <c r="K43" i="2" s="1"/>
  <c r="J75" i="2"/>
  <c r="K75" i="2" s="1"/>
  <c r="J107" i="2"/>
  <c r="K107" i="2" s="1"/>
  <c r="J139" i="2"/>
  <c r="K139" i="2" s="1"/>
  <c r="J191" i="2"/>
  <c r="K191" i="2" s="1"/>
  <c r="J259" i="2"/>
  <c r="K259" i="2" s="1"/>
  <c r="J60" i="2"/>
  <c r="K60" i="2" s="1"/>
  <c r="J124" i="2"/>
  <c r="K124" i="2" s="1"/>
  <c r="J188" i="2"/>
  <c r="K188" i="2" s="1"/>
  <c r="J252" i="2"/>
  <c r="K252" i="2" s="1"/>
  <c r="J316" i="2"/>
  <c r="K316" i="2" s="1"/>
  <c r="J323" i="2"/>
  <c r="K323" i="2" s="1"/>
  <c r="J317" i="2"/>
  <c r="K317" i="2" s="1"/>
  <c r="O3" i="2" l="1"/>
  <c r="M3" i="2"/>
  <c r="N3" i="2" s="1"/>
</calcChain>
</file>

<file path=xl/sharedStrings.xml><?xml version="1.0" encoding="utf-8"?>
<sst xmlns="http://schemas.openxmlformats.org/spreadsheetml/2006/main" count="22" uniqueCount="19">
  <si>
    <t>Data</t>
  </si>
  <si>
    <t>433 - Índice nacional de preços ao consumidor-amplo (IPCA) - Var. % mensal</t>
  </si>
  <si>
    <t>Fonte</t>
  </si>
  <si>
    <t>IBGE</t>
  </si>
  <si>
    <t>realizado</t>
  </si>
  <si>
    <t>infl = c + phi * infl(-1) + e</t>
  </si>
  <si>
    <t>c</t>
  </si>
  <si>
    <t>parametros</t>
  </si>
  <si>
    <t>phi</t>
  </si>
  <si>
    <t>sigma_e</t>
  </si>
  <si>
    <t>previsto</t>
  </si>
  <si>
    <t>probabilidade</t>
  </si>
  <si>
    <t>verossimilhanca</t>
  </si>
  <si>
    <r>
      <t>L(</t>
    </r>
    <r>
      <rPr>
        <sz val="11"/>
        <color theme="1"/>
        <rFont val="Aptos Narrow"/>
        <family val="2"/>
      </rPr>
      <t>θ)</t>
    </r>
  </si>
  <si>
    <r>
      <t>log L(</t>
    </r>
    <r>
      <rPr>
        <sz val="11"/>
        <color theme="1"/>
        <rFont val="Aptos Narrow"/>
        <family val="2"/>
      </rPr>
      <t>θ)</t>
    </r>
  </si>
  <si>
    <t>log(prob)</t>
  </si>
  <si>
    <t>média inflação</t>
  </si>
  <si>
    <t>media_e</t>
  </si>
  <si>
    <t>erro projecao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</si>
</sst>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0" fillId="33" borderId="0" xfId="0" applyFill="1"/>
    <xf numFmtId="0" fontId="0" fillId="34" borderId="0" xfId="0" applyFill="1"/>
    <xf numFmtId="11" fontId="0" fillId="33" borderId="0" xfId="0" applyNumberFormat="1" applyFill="1"/>
    <xf numFmtId="172" fontId="0" fillId="0" borderId="0" xfId="0" applyNumberFormat="1"/>
    <xf numFmtId="0" fontId="0" fillId="35" borderId="0" xfId="0" applyFill="1"/>
    <xf numFmtId="0" fontId="0" fillId="0" borderId="10" xfId="0" applyBorder="1"/>
    <xf numFmtId="0" fontId="0" fillId="36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brutos'!$A$2:$A$327</c:f>
              <c:numCache>
                <c:formatCode>mmm\-yy</c:formatCode>
                <c:ptCount val="326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  <c:pt idx="208">
                  <c:v>42491</c:v>
                </c:pt>
                <c:pt idx="209">
                  <c:v>42522</c:v>
                </c:pt>
                <c:pt idx="210">
                  <c:v>42552</c:v>
                </c:pt>
                <c:pt idx="211">
                  <c:v>42583</c:v>
                </c:pt>
                <c:pt idx="212">
                  <c:v>42614</c:v>
                </c:pt>
                <c:pt idx="213">
                  <c:v>42644</c:v>
                </c:pt>
                <c:pt idx="214">
                  <c:v>42675</c:v>
                </c:pt>
                <c:pt idx="215">
                  <c:v>42705</c:v>
                </c:pt>
                <c:pt idx="216">
                  <c:v>42736</c:v>
                </c:pt>
                <c:pt idx="217">
                  <c:v>42767</c:v>
                </c:pt>
                <c:pt idx="218">
                  <c:v>42795</c:v>
                </c:pt>
                <c:pt idx="219">
                  <c:v>42826</c:v>
                </c:pt>
                <c:pt idx="220">
                  <c:v>42856</c:v>
                </c:pt>
                <c:pt idx="221">
                  <c:v>42887</c:v>
                </c:pt>
                <c:pt idx="222">
                  <c:v>42917</c:v>
                </c:pt>
                <c:pt idx="223">
                  <c:v>42948</c:v>
                </c:pt>
                <c:pt idx="224">
                  <c:v>42979</c:v>
                </c:pt>
                <c:pt idx="225">
                  <c:v>43009</c:v>
                </c:pt>
                <c:pt idx="226">
                  <c:v>43040</c:v>
                </c:pt>
                <c:pt idx="227">
                  <c:v>43070</c:v>
                </c:pt>
                <c:pt idx="228">
                  <c:v>43101</c:v>
                </c:pt>
                <c:pt idx="229">
                  <c:v>43132</c:v>
                </c:pt>
                <c:pt idx="230">
                  <c:v>43160</c:v>
                </c:pt>
                <c:pt idx="231">
                  <c:v>43191</c:v>
                </c:pt>
                <c:pt idx="232">
                  <c:v>43221</c:v>
                </c:pt>
                <c:pt idx="233">
                  <c:v>43252</c:v>
                </c:pt>
                <c:pt idx="234">
                  <c:v>43282</c:v>
                </c:pt>
                <c:pt idx="235">
                  <c:v>43313</c:v>
                </c:pt>
                <c:pt idx="236">
                  <c:v>43344</c:v>
                </c:pt>
                <c:pt idx="237">
                  <c:v>43374</c:v>
                </c:pt>
                <c:pt idx="238">
                  <c:v>43405</c:v>
                </c:pt>
                <c:pt idx="239">
                  <c:v>43435</c:v>
                </c:pt>
                <c:pt idx="240">
                  <c:v>43466</c:v>
                </c:pt>
                <c:pt idx="241">
                  <c:v>43497</c:v>
                </c:pt>
                <c:pt idx="242">
                  <c:v>43525</c:v>
                </c:pt>
                <c:pt idx="243">
                  <c:v>43556</c:v>
                </c:pt>
                <c:pt idx="244">
                  <c:v>43586</c:v>
                </c:pt>
                <c:pt idx="245">
                  <c:v>43617</c:v>
                </c:pt>
                <c:pt idx="246">
                  <c:v>43647</c:v>
                </c:pt>
                <c:pt idx="247">
                  <c:v>43678</c:v>
                </c:pt>
                <c:pt idx="248">
                  <c:v>43709</c:v>
                </c:pt>
                <c:pt idx="249">
                  <c:v>43739</c:v>
                </c:pt>
                <c:pt idx="250">
                  <c:v>43770</c:v>
                </c:pt>
                <c:pt idx="251">
                  <c:v>43800</c:v>
                </c:pt>
                <c:pt idx="252">
                  <c:v>43831</c:v>
                </c:pt>
                <c:pt idx="253">
                  <c:v>43862</c:v>
                </c:pt>
                <c:pt idx="254">
                  <c:v>43891</c:v>
                </c:pt>
                <c:pt idx="255">
                  <c:v>43922</c:v>
                </c:pt>
                <c:pt idx="256">
                  <c:v>43952</c:v>
                </c:pt>
                <c:pt idx="257">
                  <c:v>43983</c:v>
                </c:pt>
                <c:pt idx="258">
                  <c:v>44013</c:v>
                </c:pt>
                <c:pt idx="259">
                  <c:v>44044</c:v>
                </c:pt>
                <c:pt idx="260">
                  <c:v>44075</c:v>
                </c:pt>
                <c:pt idx="261">
                  <c:v>44105</c:v>
                </c:pt>
                <c:pt idx="262">
                  <c:v>44136</c:v>
                </c:pt>
                <c:pt idx="263">
                  <c:v>44166</c:v>
                </c:pt>
                <c:pt idx="264">
                  <c:v>44197</c:v>
                </c:pt>
                <c:pt idx="265">
                  <c:v>44228</c:v>
                </c:pt>
                <c:pt idx="266">
                  <c:v>44256</c:v>
                </c:pt>
                <c:pt idx="267">
                  <c:v>44287</c:v>
                </c:pt>
                <c:pt idx="268">
                  <c:v>44317</c:v>
                </c:pt>
                <c:pt idx="269">
                  <c:v>44348</c:v>
                </c:pt>
                <c:pt idx="270">
                  <c:v>44378</c:v>
                </c:pt>
                <c:pt idx="271">
                  <c:v>44409</c:v>
                </c:pt>
                <c:pt idx="272">
                  <c:v>44440</c:v>
                </c:pt>
                <c:pt idx="273">
                  <c:v>44470</c:v>
                </c:pt>
                <c:pt idx="274">
                  <c:v>44501</c:v>
                </c:pt>
                <c:pt idx="275">
                  <c:v>44531</c:v>
                </c:pt>
                <c:pt idx="276">
                  <c:v>44562</c:v>
                </c:pt>
                <c:pt idx="277">
                  <c:v>44593</c:v>
                </c:pt>
                <c:pt idx="278">
                  <c:v>44621</c:v>
                </c:pt>
                <c:pt idx="279">
                  <c:v>44652</c:v>
                </c:pt>
                <c:pt idx="280">
                  <c:v>44682</c:v>
                </c:pt>
                <c:pt idx="281">
                  <c:v>44713</c:v>
                </c:pt>
                <c:pt idx="282">
                  <c:v>44743</c:v>
                </c:pt>
                <c:pt idx="283">
                  <c:v>44774</c:v>
                </c:pt>
                <c:pt idx="284">
                  <c:v>44805</c:v>
                </c:pt>
                <c:pt idx="285">
                  <c:v>44835</c:v>
                </c:pt>
                <c:pt idx="286">
                  <c:v>44866</c:v>
                </c:pt>
                <c:pt idx="287">
                  <c:v>44896</c:v>
                </c:pt>
                <c:pt idx="288">
                  <c:v>44927</c:v>
                </c:pt>
                <c:pt idx="289">
                  <c:v>44958</c:v>
                </c:pt>
                <c:pt idx="290">
                  <c:v>44986</c:v>
                </c:pt>
                <c:pt idx="291">
                  <c:v>45017</c:v>
                </c:pt>
                <c:pt idx="292">
                  <c:v>45047</c:v>
                </c:pt>
                <c:pt idx="293">
                  <c:v>45078</c:v>
                </c:pt>
                <c:pt idx="294">
                  <c:v>45108</c:v>
                </c:pt>
                <c:pt idx="295">
                  <c:v>45139</c:v>
                </c:pt>
                <c:pt idx="296">
                  <c:v>45170</c:v>
                </c:pt>
                <c:pt idx="297">
                  <c:v>45200</c:v>
                </c:pt>
                <c:pt idx="298">
                  <c:v>45231</c:v>
                </c:pt>
                <c:pt idx="299">
                  <c:v>45261</c:v>
                </c:pt>
                <c:pt idx="300">
                  <c:v>45292</c:v>
                </c:pt>
                <c:pt idx="301">
                  <c:v>45323</c:v>
                </c:pt>
                <c:pt idx="302">
                  <c:v>45352</c:v>
                </c:pt>
                <c:pt idx="303">
                  <c:v>45383</c:v>
                </c:pt>
                <c:pt idx="304">
                  <c:v>45413</c:v>
                </c:pt>
                <c:pt idx="305">
                  <c:v>45444</c:v>
                </c:pt>
                <c:pt idx="306">
                  <c:v>45474</c:v>
                </c:pt>
                <c:pt idx="307">
                  <c:v>45505</c:v>
                </c:pt>
                <c:pt idx="308">
                  <c:v>45536</c:v>
                </c:pt>
                <c:pt idx="309">
                  <c:v>45566</c:v>
                </c:pt>
                <c:pt idx="310">
                  <c:v>45597</c:v>
                </c:pt>
                <c:pt idx="311">
                  <c:v>45627</c:v>
                </c:pt>
                <c:pt idx="312">
                  <c:v>45658</c:v>
                </c:pt>
                <c:pt idx="313">
                  <c:v>45689</c:v>
                </c:pt>
                <c:pt idx="314">
                  <c:v>45717</c:v>
                </c:pt>
                <c:pt idx="315">
                  <c:v>45748</c:v>
                </c:pt>
                <c:pt idx="316">
                  <c:v>45778</c:v>
                </c:pt>
                <c:pt idx="317">
                  <c:v>45809</c:v>
                </c:pt>
                <c:pt idx="318">
                  <c:v>45839</c:v>
                </c:pt>
                <c:pt idx="319">
                  <c:v>45870</c:v>
                </c:pt>
                <c:pt idx="320">
                  <c:v>45901</c:v>
                </c:pt>
                <c:pt idx="321">
                  <c:v>45931</c:v>
                </c:pt>
                <c:pt idx="322">
                  <c:v>45962</c:v>
                </c:pt>
                <c:pt idx="323">
                  <c:v>45992</c:v>
                </c:pt>
                <c:pt idx="324">
                  <c:v>46023</c:v>
                </c:pt>
                <c:pt idx="325">
                  <c:v>46054</c:v>
                </c:pt>
              </c:numCache>
            </c:numRef>
          </c:cat>
          <c:val>
            <c:numRef>
              <c:f>'dados brutos'!$B$2:$B$327</c:f>
              <c:numCache>
                <c:formatCode>General</c:formatCode>
                <c:ptCount val="326"/>
                <c:pt idx="0">
                  <c:v>0.7</c:v>
                </c:pt>
                <c:pt idx="1">
                  <c:v>1.05</c:v>
                </c:pt>
                <c:pt idx="2">
                  <c:v>1.1000000000000001</c:v>
                </c:pt>
                <c:pt idx="3">
                  <c:v>0.56000000000000005</c:v>
                </c:pt>
                <c:pt idx="4">
                  <c:v>0.3</c:v>
                </c:pt>
                <c:pt idx="5">
                  <c:v>0.19</c:v>
                </c:pt>
                <c:pt idx="6">
                  <c:v>1.0900000000000001</c:v>
                </c:pt>
                <c:pt idx="7">
                  <c:v>0.56000000000000005</c:v>
                </c:pt>
                <c:pt idx="8">
                  <c:v>0.31</c:v>
                </c:pt>
                <c:pt idx="9">
                  <c:v>1.19</c:v>
                </c:pt>
                <c:pt idx="10">
                  <c:v>0.95</c:v>
                </c:pt>
                <c:pt idx="11">
                  <c:v>0.6</c:v>
                </c:pt>
                <c:pt idx="12">
                  <c:v>0.62</c:v>
                </c:pt>
                <c:pt idx="13">
                  <c:v>0.13</c:v>
                </c:pt>
                <c:pt idx="14">
                  <c:v>0.22</c:v>
                </c:pt>
                <c:pt idx="15">
                  <c:v>0.42</c:v>
                </c:pt>
                <c:pt idx="16">
                  <c:v>0.01</c:v>
                </c:pt>
                <c:pt idx="17">
                  <c:v>0.23</c:v>
                </c:pt>
                <c:pt idx="18">
                  <c:v>1.61</c:v>
                </c:pt>
                <c:pt idx="19">
                  <c:v>1.31</c:v>
                </c:pt>
                <c:pt idx="20">
                  <c:v>0.23</c:v>
                </c:pt>
                <c:pt idx="21">
                  <c:v>0.14000000000000001</c:v>
                </c:pt>
                <c:pt idx="22">
                  <c:v>0.32</c:v>
                </c:pt>
                <c:pt idx="23">
                  <c:v>0.59</c:v>
                </c:pt>
                <c:pt idx="24">
                  <c:v>0.56999999999999995</c:v>
                </c:pt>
                <c:pt idx="25">
                  <c:v>0.46</c:v>
                </c:pt>
                <c:pt idx="26">
                  <c:v>0.38</c:v>
                </c:pt>
                <c:pt idx="27">
                  <c:v>0.57999999999999996</c:v>
                </c:pt>
                <c:pt idx="28">
                  <c:v>0.41</c:v>
                </c:pt>
                <c:pt idx="29">
                  <c:v>0.52</c:v>
                </c:pt>
                <c:pt idx="30">
                  <c:v>1.33</c:v>
                </c:pt>
                <c:pt idx="31">
                  <c:v>0.7</c:v>
                </c:pt>
                <c:pt idx="32">
                  <c:v>0.28000000000000003</c:v>
                </c:pt>
                <c:pt idx="33">
                  <c:v>0.83</c:v>
                </c:pt>
                <c:pt idx="34">
                  <c:v>0.71</c:v>
                </c:pt>
                <c:pt idx="35">
                  <c:v>0.65</c:v>
                </c:pt>
                <c:pt idx="36">
                  <c:v>0.52</c:v>
                </c:pt>
                <c:pt idx="37">
                  <c:v>0.36</c:v>
                </c:pt>
                <c:pt idx="38">
                  <c:v>0.6</c:v>
                </c:pt>
                <c:pt idx="39">
                  <c:v>0.8</c:v>
                </c:pt>
                <c:pt idx="40">
                  <c:v>0.21</c:v>
                </c:pt>
                <c:pt idx="41">
                  <c:v>0.42</c:v>
                </c:pt>
                <c:pt idx="42">
                  <c:v>1.19</c:v>
                </c:pt>
                <c:pt idx="43">
                  <c:v>0.65</c:v>
                </c:pt>
                <c:pt idx="44">
                  <c:v>0.72</c:v>
                </c:pt>
                <c:pt idx="45">
                  <c:v>1.31</c:v>
                </c:pt>
                <c:pt idx="46">
                  <c:v>3.02</c:v>
                </c:pt>
                <c:pt idx="47">
                  <c:v>2.1</c:v>
                </c:pt>
                <c:pt idx="48">
                  <c:v>2.25</c:v>
                </c:pt>
                <c:pt idx="49">
                  <c:v>1.57</c:v>
                </c:pt>
                <c:pt idx="50">
                  <c:v>1.23</c:v>
                </c:pt>
                <c:pt idx="51">
                  <c:v>0.97</c:v>
                </c:pt>
                <c:pt idx="52">
                  <c:v>0.61</c:v>
                </c:pt>
                <c:pt idx="53">
                  <c:v>-0.15</c:v>
                </c:pt>
                <c:pt idx="54">
                  <c:v>0.2</c:v>
                </c:pt>
                <c:pt idx="55">
                  <c:v>0.34</c:v>
                </c:pt>
                <c:pt idx="56">
                  <c:v>0.78</c:v>
                </c:pt>
                <c:pt idx="57">
                  <c:v>0.28999999999999998</c:v>
                </c:pt>
                <c:pt idx="58">
                  <c:v>0.34</c:v>
                </c:pt>
                <c:pt idx="59">
                  <c:v>0.52</c:v>
                </c:pt>
                <c:pt idx="60">
                  <c:v>0.76</c:v>
                </c:pt>
                <c:pt idx="61">
                  <c:v>0.61</c:v>
                </c:pt>
                <c:pt idx="62">
                  <c:v>0.47</c:v>
                </c:pt>
                <c:pt idx="63">
                  <c:v>0.37</c:v>
                </c:pt>
                <c:pt idx="64">
                  <c:v>0.51</c:v>
                </c:pt>
                <c:pt idx="65">
                  <c:v>0.71</c:v>
                </c:pt>
                <c:pt idx="66">
                  <c:v>0.91</c:v>
                </c:pt>
                <c:pt idx="67">
                  <c:v>0.69</c:v>
                </c:pt>
                <c:pt idx="68">
                  <c:v>0.33</c:v>
                </c:pt>
                <c:pt idx="69">
                  <c:v>0.44</c:v>
                </c:pt>
                <c:pt idx="70">
                  <c:v>0.69</c:v>
                </c:pt>
                <c:pt idx="71">
                  <c:v>0.86</c:v>
                </c:pt>
                <c:pt idx="72">
                  <c:v>0.57999999999999996</c:v>
                </c:pt>
                <c:pt idx="73">
                  <c:v>0.59</c:v>
                </c:pt>
                <c:pt idx="74">
                  <c:v>0.61</c:v>
                </c:pt>
                <c:pt idx="75">
                  <c:v>0.87</c:v>
                </c:pt>
                <c:pt idx="76">
                  <c:v>0.49</c:v>
                </c:pt>
                <c:pt idx="77">
                  <c:v>-0.02</c:v>
                </c:pt>
                <c:pt idx="78">
                  <c:v>0.25</c:v>
                </c:pt>
                <c:pt idx="79">
                  <c:v>0.17</c:v>
                </c:pt>
                <c:pt idx="80">
                  <c:v>0.35</c:v>
                </c:pt>
                <c:pt idx="81">
                  <c:v>0.75</c:v>
                </c:pt>
                <c:pt idx="82">
                  <c:v>0.55000000000000004</c:v>
                </c:pt>
                <c:pt idx="83">
                  <c:v>0.36</c:v>
                </c:pt>
                <c:pt idx="84">
                  <c:v>0.59</c:v>
                </c:pt>
                <c:pt idx="85">
                  <c:v>0.41</c:v>
                </c:pt>
                <c:pt idx="86">
                  <c:v>0.43</c:v>
                </c:pt>
                <c:pt idx="87">
                  <c:v>0.21</c:v>
                </c:pt>
                <c:pt idx="88">
                  <c:v>0.1</c:v>
                </c:pt>
                <c:pt idx="89">
                  <c:v>-0.21</c:v>
                </c:pt>
                <c:pt idx="90">
                  <c:v>0.19</c:v>
                </c:pt>
                <c:pt idx="91">
                  <c:v>0.05</c:v>
                </c:pt>
                <c:pt idx="92">
                  <c:v>0.21</c:v>
                </c:pt>
                <c:pt idx="93">
                  <c:v>0.33</c:v>
                </c:pt>
                <c:pt idx="94">
                  <c:v>0.31</c:v>
                </c:pt>
                <c:pt idx="95">
                  <c:v>0.48</c:v>
                </c:pt>
                <c:pt idx="96">
                  <c:v>0.44</c:v>
                </c:pt>
                <c:pt idx="97">
                  <c:v>0.44</c:v>
                </c:pt>
                <c:pt idx="98">
                  <c:v>0.37</c:v>
                </c:pt>
                <c:pt idx="99">
                  <c:v>0.25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0.24</c:v>
                </c:pt>
                <c:pt idx="103">
                  <c:v>0.47</c:v>
                </c:pt>
                <c:pt idx="104">
                  <c:v>0.18</c:v>
                </c:pt>
                <c:pt idx="105">
                  <c:v>0.3</c:v>
                </c:pt>
                <c:pt idx="106">
                  <c:v>0.38</c:v>
                </c:pt>
                <c:pt idx="107">
                  <c:v>0.74</c:v>
                </c:pt>
                <c:pt idx="108">
                  <c:v>0.54</c:v>
                </c:pt>
                <c:pt idx="109">
                  <c:v>0.49</c:v>
                </c:pt>
                <c:pt idx="110">
                  <c:v>0.48</c:v>
                </c:pt>
                <c:pt idx="111">
                  <c:v>0.55000000000000004</c:v>
                </c:pt>
                <c:pt idx="112">
                  <c:v>0.79</c:v>
                </c:pt>
                <c:pt idx="113">
                  <c:v>0.74</c:v>
                </c:pt>
                <c:pt idx="114">
                  <c:v>0.53</c:v>
                </c:pt>
                <c:pt idx="115">
                  <c:v>0.28000000000000003</c:v>
                </c:pt>
                <c:pt idx="116">
                  <c:v>0.26</c:v>
                </c:pt>
                <c:pt idx="117">
                  <c:v>0.45</c:v>
                </c:pt>
                <c:pt idx="118">
                  <c:v>0.36</c:v>
                </c:pt>
                <c:pt idx="119">
                  <c:v>0.28000000000000003</c:v>
                </c:pt>
                <c:pt idx="120">
                  <c:v>0.48</c:v>
                </c:pt>
                <c:pt idx="121">
                  <c:v>0.55000000000000004</c:v>
                </c:pt>
                <c:pt idx="122">
                  <c:v>0.2</c:v>
                </c:pt>
                <c:pt idx="123">
                  <c:v>0.48</c:v>
                </c:pt>
                <c:pt idx="124">
                  <c:v>0.47</c:v>
                </c:pt>
                <c:pt idx="125">
                  <c:v>0.36</c:v>
                </c:pt>
                <c:pt idx="126">
                  <c:v>0.24</c:v>
                </c:pt>
                <c:pt idx="127">
                  <c:v>0.15</c:v>
                </c:pt>
                <c:pt idx="128">
                  <c:v>0.24</c:v>
                </c:pt>
                <c:pt idx="129">
                  <c:v>0.28000000000000003</c:v>
                </c:pt>
                <c:pt idx="130">
                  <c:v>0.41</c:v>
                </c:pt>
                <c:pt idx="131">
                  <c:v>0.37</c:v>
                </c:pt>
                <c:pt idx="132">
                  <c:v>0.75</c:v>
                </c:pt>
                <c:pt idx="133">
                  <c:v>0.78</c:v>
                </c:pt>
                <c:pt idx="134">
                  <c:v>0.52</c:v>
                </c:pt>
                <c:pt idx="135">
                  <c:v>0.56999999999999995</c:v>
                </c:pt>
                <c:pt idx="136">
                  <c:v>0.43</c:v>
                </c:pt>
                <c:pt idx="137">
                  <c:v>0</c:v>
                </c:pt>
                <c:pt idx="138">
                  <c:v>0.01</c:v>
                </c:pt>
                <c:pt idx="139">
                  <c:v>0.04</c:v>
                </c:pt>
                <c:pt idx="140">
                  <c:v>0.45</c:v>
                </c:pt>
                <c:pt idx="141">
                  <c:v>0.75</c:v>
                </c:pt>
                <c:pt idx="142">
                  <c:v>0.83</c:v>
                </c:pt>
                <c:pt idx="143">
                  <c:v>0.63</c:v>
                </c:pt>
                <c:pt idx="144">
                  <c:v>0.83</c:v>
                </c:pt>
                <c:pt idx="145">
                  <c:v>0.8</c:v>
                </c:pt>
                <c:pt idx="146">
                  <c:v>0.79</c:v>
                </c:pt>
                <c:pt idx="147">
                  <c:v>0.77</c:v>
                </c:pt>
                <c:pt idx="148">
                  <c:v>0.47</c:v>
                </c:pt>
                <c:pt idx="149">
                  <c:v>0.15</c:v>
                </c:pt>
                <c:pt idx="150">
                  <c:v>0.16</c:v>
                </c:pt>
                <c:pt idx="151">
                  <c:v>0.37</c:v>
                </c:pt>
                <c:pt idx="152">
                  <c:v>0.53</c:v>
                </c:pt>
                <c:pt idx="153">
                  <c:v>0.43</c:v>
                </c:pt>
                <c:pt idx="154">
                  <c:v>0.52</c:v>
                </c:pt>
                <c:pt idx="155">
                  <c:v>0.5</c:v>
                </c:pt>
                <c:pt idx="156">
                  <c:v>0.56000000000000005</c:v>
                </c:pt>
                <c:pt idx="157">
                  <c:v>0.45</c:v>
                </c:pt>
                <c:pt idx="158">
                  <c:v>0.21</c:v>
                </c:pt>
                <c:pt idx="159">
                  <c:v>0.64</c:v>
                </c:pt>
                <c:pt idx="160">
                  <c:v>0.36</c:v>
                </c:pt>
                <c:pt idx="161">
                  <c:v>0.08</c:v>
                </c:pt>
                <c:pt idx="162">
                  <c:v>0.43</c:v>
                </c:pt>
                <c:pt idx="163">
                  <c:v>0.41</c:v>
                </c:pt>
                <c:pt idx="164">
                  <c:v>0.56999999999999995</c:v>
                </c:pt>
                <c:pt idx="165">
                  <c:v>0.59</c:v>
                </c:pt>
                <c:pt idx="166">
                  <c:v>0.6</c:v>
                </c:pt>
                <c:pt idx="167">
                  <c:v>0.79</c:v>
                </c:pt>
                <c:pt idx="168">
                  <c:v>0.86</c:v>
                </c:pt>
                <c:pt idx="169">
                  <c:v>0.6</c:v>
                </c:pt>
                <c:pt idx="170">
                  <c:v>0.47</c:v>
                </c:pt>
                <c:pt idx="171">
                  <c:v>0.55000000000000004</c:v>
                </c:pt>
                <c:pt idx="172">
                  <c:v>0.37</c:v>
                </c:pt>
                <c:pt idx="173">
                  <c:v>0.26</c:v>
                </c:pt>
                <c:pt idx="174">
                  <c:v>0.03</c:v>
                </c:pt>
                <c:pt idx="175">
                  <c:v>0.24</c:v>
                </c:pt>
                <c:pt idx="176">
                  <c:v>0.35</c:v>
                </c:pt>
                <c:pt idx="177">
                  <c:v>0.56999999999999995</c:v>
                </c:pt>
                <c:pt idx="178">
                  <c:v>0.54</c:v>
                </c:pt>
                <c:pt idx="179">
                  <c:v>0.92</c:v>
                </c:pt>
                <c:pt idx="180">
                  <c:v>0.55000000000000004</c:v>
                </c:pt>
                <c:pt idx="181">
                  <c:v>0.69</c:v>
                </c:pt>
                <c:pt idx="182">
                  <c:v>0.92</c:v>
                </c:pt>
                <c:pt idx="183">
                  <c:v>0.67</c:v>
                </c:pt>
                <c:pt idx="184">
                  <c:v>0.46</c:v>
                </c:pt>
                <c:pt idx="185">
                  <c:v>0.4</c:v>
                </c:pt>
                <c:pt idx="186">
                  <c:v>0.01</c:v>
                </c:pt>
                <c:pt idx="187">
                  <c:v>0.25</c:v>
                </c:pt>
                <c:pt idx="188">
                  <c:v>0.56999999999999995</c:v>
                </c:pt>
                <c:pt idx="189">
                  <c:v>0.42</c:v>
                </c:pt>
                <c:pt idx="190">
                  <c:v>0.51</c:v>
                </c:pt>
                <c:pt idx="191">
                  <c:v>0.78</c:v>
                </c:pt>
                <c:pt idx="192">
                  <c:v>1.24</c:v>
                </c:pt>
                <c:pt idx="193">
                  <c:v>1.22</c:v>
                </c:pt>
                <c:pt idx="194">
                  <c:v>1.32</c:v>
                </c:pt>
                <c:pt idx="195">
                  <c:v>0.71</c:v>
                </c:pt>
                <c:pt idx="196">
                  <c:v>0.74</c:v>
                </c:pt>
                <c:pt idx="197">
                  <c:v>0.79</c:v>
                </c:pt>
                <c:pt idx="198">
                  <c:v>0.62</c:v>
                </c:pt>
                <c:pt idx="199">
                  <c:v>0.22</c:v>
                </c:pt>
                <c:pt idx="200">
                  <c:v>0.54</c:v>
                </c:pt>
                <c:pt idx="201">
                  <c:v>0.82</c:v>
                </c:pt>
                <c:pt idx="202">
                  <c:v>1.01</c:v>
                </c:pt>
                <c:pt idx="203">
                  <c:v>0.96</c:v>
                </c:pt>
                <c:pt idx="204">
                  <c:v>1.27</c:v>
                </c:pt>
                <c:pt idx="205">
                  <c:v>0.9</c:v>
                </c:pt>
                <c:pt idx="206">
                  <c:v>0.43</c:v>
                </c:pt>
                <c:pt idx="207">
                  <c:v>0.61</c:v>
                </c:pt>
                <c:pt idx="208">
                  <c:v>0.78</c:v>
                </c:pt>
                <c:pt idx="209">
                  <c:v>0.35</c:v>
                </c:pt>
                <c:pt idx="210">
                  <c:v>0.52</c:v>
                </c:pt>
                <c:pt idx="211">
                  <c:v>0.44</c:v>
                </c:pt>
                <c:pt idx="212">
                  <c:v>0.08</c:v>
                </c:pt>
                <c:pt idx="213">
                  <c:v>0.26</c:v>
                </c:pt>
                <c:pt idx="214">
                  <c:v>0.18</c:v>
                </c:pt>
                <c:pt idx="215">
                  <c:v>0.3</c:v>
                </c:pt>
                <c:pt idx="216">
                  <c:v>0.38</c:v>
                </c:pt>
                <c:pt idx="217">
                  <c:v>0.33</c:v>
                </c:pt>
                <c:pt idx="218">
                  <c:v>0.25</c:v>
                </c:pt>
                <c:pt idx="219">
                  <c:v>0.14000000000000001</c:v>
                </c:pt>
                <c:pt idx="220">
                  <c:v>0.31</c:v>
                </c:pt>
                <c:pt idx="221">
                  <c:v>-0.23</c:v>
                </c:pt>
                <c:pt idx="222">
                  <c:v>0.24</c:v>
                </c:pt>
                <c:pt idx="223">
                  <c:v>0.19</c:v>
                </c:pt>
                <c:pt idx="224">
                  <c:v>0.16</c:v>
                </c:pt>
                <c:pt idx="225">
                  <c:v>0.42</c:v>
                </c:pt>
                <c:pt idx="226">
                  <c:v>0.28000000000000003</c:v>
                </c:pt>
                <c:pt idx="227">
                  <c:v>0.44</c:v>
                </c:pt>
                <c:pt idx="228">
                  <c:v>0.28999999999999998</c:v>
                </c:pt>
                <c:pt idx="229">
                  <c:v>0.32</c:v>
                </c:pt>
                <c:pt idx="230">
                  <c:v>0.09</c:v>
                </c:pt>
                <c:pt idx="231">
                  <c:v>0.22</c:v>
                </c:pt>
                <c:pt idx="232">
                  <c:v>0.4</c:v>
                </c:pt>
                <c:pt idx="233">
                  <c:v>1.26</c:v>
                </c:pt>
                <c:pt idx="234">
                  <c:v>0.33</c:v>
                </c:pt>
                <c:pt idx="235">
                  <c:v>-0.09</c:v>
                </c:pt>
                <c:pt idx="236">
                  <c:v>0.48</c:v>
                </c:pt>
                <c:pt idx="237">
                  <c:v>0.45</c:v>
                </c:pt>
                <c:pt idx="238">
                  <c:v>-0.21</c:v>
                </c:pt>
                <c:pt idx="239">
                  <c:v>0.15</c:v>
                </c:pt>
                <c:pt idx="240">
                  <c:v>0.32</c:v>
                </c:pt>
                <c:pt idx="241">
                  <c:v>0.43</c:v>
                </c:pt>
                <c:pt idx="242">
                  <c:v>0.75</c:v>
                </c:pt>
                <c:pt idx="243">
                  <c:v>0.56999999999999995</c:v>
                </c:pt>
                <c:pt idx="244">
                  <c:v>0.13</c:v>
                </c:pt>
                <c:pt idx="245">
                  <c:v>0.01</c:v>
                </c:pt>
                <c:pt idx="246">
                  <c:v>0.19</c:v>
                </c:pt>
                <c:pt idx="247">
                  <c:v>0.11</c:v>
                </c:pt>
                <c:pt idx="248">
                  <c:v>-0.04</c:v>
                </c:pt>
                <c:pt idx="249">
                  <c:v>0.1</c:v>
                </c:pt>
                <c:pt idx="250">
                  <c:v>0.51</c:v>
                </c:pt>
                <c:pt idx="251">
                  <c:v>1.1499999999999999</c:v>
                </c:pt>
                <c:pt idx="252">
                  <c:v>0.21</c:v>
                </c:pt>
                <c:pt idx="253">
                  <c:v>0.25</c:v>
                </c:pt>
                <c:pt idx="254">
                  <c:v>7.0000000000000007E-2</c:v>
                </c:pt>
                <c:pt idx="255">
                  <c:v>-0.31</c:v>
                </c:pt>
                <c:pt idx="256">
                  <c:v>-0.38</c:v>
                </c:pt>
                <c:pt idx="257">
                  <c:v>0.26</c:v>
                </c:pt>
                <c:pt idx="258">
                  <c:v>0.36</c:v>
                </c:pt>
                <c:pt idx="259">
                  <c:v>0.24</c:v>
                </c:pt>
                <c:pt idx="260">
                  <c:v>0.64</c:v>
                </c:pt>
                <c:pt idx="261">
                  <c:v>0.86</c:v>
                </c:pt>
                <c:pt idx="262">
                  <c:v>0.89</c:v>
                </c:pt>
                <c:pt idx="263">
                  <c:v>1.35</c:v>
                </c:pt>
                <c:pt idx="264">
                  <c:v>0.25</c:v>
                </c:pt>
                <c:pt idx="265">
                  <c:v>0.86</c:v>
                </c:pt>
                <c:pt idx="266">
                  <c:v>0.93</c:v>
                </c:pt>
                <c:pt idx="267">
                  <c:v>0.31</c:v>
                </c:pt>
                <c:pt idx="268">
                  <c:v>0.83</c:v>
                </c:pt>
                <c:pt idx="269">
                  <c:v>0.53</c:v>
                </c:pt>
                <c:pt idx="270">
                  <c:v>0.96</c:v>
                </c:pt>
                <c:pt idx="271">
                  <c:v>0.87</c:v>
                </c:pt>
                <c:pt idx="272">
                  <c:v>1.1599999999999999</c:v>
                </c:pt>
                <c:pt idx="273">
                  <c:v>1.25</c:v>
                </c:pt>
                <c:pt idx="274">
                  <c:v>0.95</c:v>
                </c:pt>
                <c:pt idx="275">
                  <c:v>0.73</c:v>
                </c:pt>
                <c:pt idx="276">
                  <c:v>0.54</c:v>
                </c:pt>
                <c:pt idx="277">
                  <c:v>1.01</c:v>
                </c:pt>
                <c:pt idx="278">
                  <c:v>1.62</c:v>
                </c:pt>
                <c:pt idx="279">
                  <c:v>1.06</c:v>
                </c:pt>
                <c:pt idx="280">
                  <c:v>0.47</c:v>
                </c:pt>
                <c:pt idx="281">
                  <c:v>0.67</c:v>
                </c:pt>
                <c:pt idx="282">
                  <c:v>-0.68</c:v>
                </c:pt>
                <c:pt idx="283">
                  <c:v>-0.36</c:v>
                </c:pt>
                <c:pt idx="284">
                  <c:v>-0.28999999999999998</c:v>
                </c:pt>
                <c:pt idx="285">
                  <c:v>0.59</c:v>
                </c:pt>
                <c:pt idx="286">
                  <c:v>0.41</c:v>
                </c:pt>
                <c:pt idx="287">
                  <c:v>0.62</c:v>
                </c:pt>
                <c:pt idx="288">
                  <c:v>0.53</c:v>
                </c:pt>
                <c:pt idx="289">
                  <c:v>0.84</c:v>
                </c:pt>
                <c:pt idx="290">
                  <c:v>0.71</c:v>
                </c:pt>
                <c:pt idx="291">
                  <c:v>0.61</c:v>
                </c:pt>
                <c:pt idx="292">
                  <c:v>0.23</c:v>
                </c:pt>
                <c:pt idx="293">
                  <c:v>-0.08</c:v>
                </c:pt>
                <c:pt idx="294">
                  <c:v>0.12</c:v>
                </c:pt>
                <c:pt idx="295">
                  <c:v>0.23</c:v>
                </c:pt>
                <c:pt idx="296">
                  <c:v>0.26</c:v>
                </c:pt>
                <c:pt idx="297">
                  <c:v>0.24</c:v>
                </c:pt>
                <c:pt idx="298">
                  <c:v>0.28000000000000003</c:v>
                </c:pt>
                <c:pt idx="299">
                  <c:v>0.56000000000000005</c:v>
                </c:pt>
                <c:pt idx="300">
                  <c:v>0.42</c:v>
                </c:pt>
                <c:pt idx="301">
                  <c:v>0.83</c:v>
                </c:pt>
                <c:pt idx="302">
                  <c:v>0.16</c:v>
                </c:pt>
                <c:pt idx="303">
                  <c:v>0.38</c:v>
                </c:pt>
                <c:pt idx="304">
                  <c:v>0.46</c:v>
                </c:pt>
                <c:pt idx="305">
                  <c:v>0.21</c:v>
                </c:pt>
                <c:pt idx="306">
                  <c:v>0.38</c:v>
                </c:pt>
                <c:pt idx="307">
                  <c:v>-0.02</c:v>
                </c:pt>
                <c:pt idx="308">
                  <c:v>0.44</c:v>
                </c:pt>
                <c:pt idx="309">
                  <c:v>0.56000000000000005</c:v>
                </c:pt>
                <c:pt idx="310">
                  <c:v>0.39</c:v>
                </c:pt>
                <c:pt idx="311">
                  <c:v>0.52</c:v>
                </c:pt>
                <c:pt idx="312">
                  <c:v>0.16</c:v>
                </c:pt>
                <c:pt idx="313">
                  <c:v>1.31</c:v>
                </c:pt>
                <c:pt idx="314">
                  <c:v>0.56000000000000005</c:v>
                </c:pt>
                <c:pt idx="315">
                  <c:v>0.43</c:v>
                </c:pt>
                <c:pt idx="316">
                  <c:v>0.26</c:v>
                </c:pt>
                <c:pt idx="317">
                  <c:v>0.24</c:v>
                </c:pt>
                <c:pt idx="318">
                  <c:v>0.26</c:v>
                </c:pt>
                <c:pt idx="319">
                  <c:v>-0.11</c:v>
                </c:pt>
                <c:pt idx="320">
                  <c:v>0.48</c:v>
                </c:pt>
                <c:pt idx="321">
                  <c:v>0.09</c:v>
                </c:pt>
                <c:pt idx="322">
                  <c:v>0.18</c:v>
                </c:pt>
                <c:pt idx="323">
                  <c:v>0.33</c:v>
                </c:pt>
                <c:pt idx="324">
                  <c:v>0.33</c:v>
                </c:pt>
                <c:pt idx="32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6-408B-8533-109C391C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619775"/>
        <c:axId val="1980621695"/>
      </c:lineChart>
      <c:dateAx>
        <c:axId val="19806197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0621695"/>
        <c:crosses val="autoZero"/>
        <c:auto val="1"/>
        <c:lblOffset val="100"/>
        <c:baseTimeUnit val="months"/>
      </c:dateAx>
      <c:valAx>
        <c:axId val="198062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06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352430</xdr:colOff>
      <xdr:row>310</xdr:row>
      <xdr:rowOff>185736</xdr:rowOff>
    </xdr:from>
    <xdr:to>
      <xdr:col>12</xdr:col>
      <xdr:colOff>457199</xdr:colOff>
      <xdr:row>326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17577C-30D8-7495-FA07-8413BC2F5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2A54-67DC-4A58-BC3A-49FA74E49B49}">
  <dimension ref="A1:B328"/>
  <sheetViews>
    <sheetView workbookViewId="0">
      <pane xSplit="1" ySplit="1" topLeftCell="B311" activePane="bottomRight" state="frozen"/>
      <selection pane="topRight" activeCell="B1" sqref="B1"/>
      <selection pane="bottomLeft" activeCell="A2" sqref="A2"/>
      <selection pane="bottomRight" sqref="A1:B1048576"/>
    </sheetView>
  </sheetViews>
  <sheetFormatPr defaultRowHeight="15" x14ac:dyDescent="0.25"/>
  <cols>
    <col min="1" max="1" width="14.42578125" customWidth="1"/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36161</v>
      </c>
      <c r="B2">
        <v>0.7</v>
      </c>
    </row>
    <row r="3" spans="1:2" x14ac:dyDescent="0.25">
      <c r="A3" s="1">
        <v>36192</v>
      </c>
      <c r="B3">
        <v>1.05</v>
      </c>
    </row>
    <row r="4" spans="1:2" x14ac:dyDescent="0.25">
      <c r="A4" s="1">
        <v>36220</v>
      </c>
      <c r="B4">
        <v>1.1000000000000001</v>
      </c>
    </row>
    <row r="5" spans="1:2" x14ac:dyDescent="0.25">
      <c r="A5" s="1">
        <v>36251</v>
      </c>
      <c r="B5">
        <v>0.56000000000000005</v>
      </c>
    </row>
    <row r="6" spans="1:2" x14ac:dyDescent="0.25">
      <c r="A6" s="1">
        <v>36281</v>
      </c>
      <c r="B6">
        <v>0.3</v>
      </c>
    </row>
    <row r="7" spans="1:2" x14ac:dyDescent="0.25">
      <c r="A7" s="1">
        <v>36312</v>
      </c>
      <c r="B7">
        <v>0.19</v>
      </c>
    </row>
    <row r="8" spans="1:2" x14ac:dyDescent="0.25">
      <c r="A8" s="1">
        <v>36342</v>
      </c>
      <c r="B8">
        <v>1.0900000000000001</v>
      </c>
    </row>
    <row r="9" spans="1:2" x14ac:dyDescent="0.25">
      <c r="A9" s="1">
        <v>36373</v>
      </c>
      <c r="B9">
        <v>0.56000000000000005</v>
      </c>
    </row>
    <row r="10" spans="1:2" x14ac:dyDescent="0.25">
      <c r="A10" s="1">
        <v>36404</v>
      </c>
      <c r="B10">
        <v>0.31</v>
      </c>
    </row>
    <row r="11" spans="1:2" x14ac:dyDescent="0.25">
      <c r="A11" s="1">
        <v>36434</v>
      </c>
      <c r="B11">
        <v>1.19</v>
      </c>
    </row>
    <row r="12" spans="1:2" x14ac:dyDescent="0.25">
      <c r="A12" s="1">
        <v>36465</v>
      </c>
      <c r="B12">
        <v>0.95</v>
      </c>
    </row>
    <row r="13" spans="1:2" x14ac:dyDescent="0.25">
      <c r="A13" s="1">
        <v>36495</v>
      </c>
      <c r="B13">
        <v>0.6</v>
      </c>
    </row>
    <row r="14" spans="1:2" x14ac:dyDescent="0.25">
      <c r="A14" s="1">
        <v>36526</v>
      </c>
      <c r="B14">
        <v>0.62</v>
      </c>
    </row>
    <row r="15" spans="1:2" x14ac:dyDescent="0.25">
      <c r="A15" s="1">
        <v>36557</v>
      </c>
      <c r="B15">
        <v>0.13</v>
      </c>
    </row>
    <row r="16" spans="1:2" x14ac:dyDescent="0.25">
      <c r="A16" s="1">
        <v>36586</v>
      </c>
      <c r="B16">
        <v>0.22</v>
      </c>
    </row>
    <row r="17" spans="1:2" x14ac:dyDescent="0.25">
      <c r="A17" s="1">
        <v>36617</v>
      </c>
      <c r="B17">
        <v>0.42</v>
      </c>
    </row>
    <row r="18" spans="1:2" x14ac:dyDescent="0.25">
      <c r="A18" s="1">
        <v>36647</v>
      </c>
      <c r="B18">
        <v>0.01</v>
      </c>
    </row>
    <row r="19" spans="1:2" x14ac:dyDescent="0.25">
      <c r="A19" s="1">
        <v>36678</v>
      </c>
      <c r="B19">
        <v>0.23</v>
      </c>
    </row>
    <row r="20" spans="1:2" x14ac:dyDescent="0.25">
      <c r="A20" s="1">
        <v>36708</v>
      </c>
      <c r="B20">
        <v>1.61</v>
      </c>
    </row>
    <row r="21" spans="1:2" x14ac:dyDescent="0.25">
      <c r="A21" s="1">
        <v>36739</v>
      </c>
      <c r="B21">
        <v>1.31</v>
      </c>
    </row>
    <row r="22" spans="1:2" x14ac:dyDescent="0.25">
      <c r="A22" s="1">
        <v>36770</v>
      </c>
      <c r="B22">
        <v>0.23</v>
      </c>
    </row>
    <row r="23" spans="1:2" x14ac:dyDescent="0.25">
      <c r="A23" s="1">
        <v>36800</v>
      </c>
      <c r="B23">
        <v>0.14000000000000001</v>
      </c>
    </row>
    <row r="24" spans="1:2" x14ac:dyDescent="0.25">
      <c r="A24" s="1">
        <v>36831</v>
      </c>
      <c r="B24">
        <v>0.32</v>
      </c>
    </row>
    <row r="25" spans="1:2" x14ac:dyDescent="0.25">
      <c r="A25" s="1">
        <v>36861</v>
      </c>
      <c r="B25">
        <v>0.59</v>
      </c>
    </row>
    <row r="26" spans="1:2" x14ac:dyDescent="0.25">
      <c r="A26" s="1">
        <v>36892</v>
      </c>
      <c r="B26">
        <v>0.56999999999999995</v>
      </c>
    </row>
    <row r="27" spans="1:2" x14ac:dyDescent="0.25">
      <c r="A27" s="1">
        <v>36923</v>
      </c>
      <c r="B27">
        <v>0.46</v>
      </c>
    </row>
    <row r="28" spans="1:2" x14ac:dyDescent="0.25">
      <c r="A28" s="1">
        <v>36951</v>
      </c>
      <c r="B28">
        <v>0.38</v>
      </c>
    </row>
    <row r="29" spans="1:2" x14ac:dyDescent="0.25">
      <c r="A29" s="1">
        <v>36982</v>
      </c>
      <c r="B29">
        <v>0.57999999999999996</v>
      </c>
    </row>
    <row r="30" spans="1:2" x14ac:dyDescent="0.25">
      <c r="A30" s="1">
        <v>37012</v>
      </c>
      <c r="B30">
        <v>0.41</v>
      </c>
    </row>
    <row r="31" spans="1:2" x14ac:dyDescent="0.25">
      <c r="A31" s="1">
        <v>37043</v>
      </c>
      <c r="B31">
        <v>0.52</v>
      </c>
    </row>
    <row r="32" spans="1:2" x14ac:dyDescent="0.25">
      <c r="A32" s="1">
        <v>37073</v>
      </c>
      <c r="B32">
        <v>1.33</v>
      </c>
    </row>
    <row r="33" spans="1:2" x14ac:dyDescent="0.25">
      <c r="A33" s="1">
        <v>37104</v>
      </c>
      <c r="B33">
        <v>0.7</v>
      </c>
    </row>
    <row r="34" spans="1:2" x14ac:dyDescent="0.25">
      <c r="A34" s="1">
        <v>37135</v>
      </c>
      <c r="B34">
        <v>0.28000000000000003</v>
      </c>
    </row>
    <row r="35" spans="1:2" x14ac:dyDescent="0.25">
      <c r="A35" s="1">
        <v>37165</v>
      </c>
      <c r="B35">
        <v>0.83</v>
      </c>
    </row>
    <row r="36" spans="1:2" x14ac:dyDescent="0.25">
      <c r="A36" s="1">
        <v>37196</v>
      </c>
      <c r="B36">
        <v>0.71</v>
      </c>
    </row>
    <row r="37" spans="1:2" x14ac:dyDescent="0.25">
      <c r="A37" s="1">
        <v>37226</v>
      </c>
      <c r="B37">
        <v>0.65</v>
      </c>
    </row>
    <row r="38" spans="1:2" x14ac:dyDescent="0.25">
      <c r="A38" s="1">
        <v>37257</v>
      </c>
      <c r="B38">
        <v>0.52</v>
      </c>
    </row>
    <row r="39" spans="1:2" x14ac:dyDescent="0.25">
      <c r="A39" s="1">
        <v>37288</v>
      </c>
      <c r="B39">
        <v>0.36</v>
      </c>
    </row>
    <row r="40" spans="1:2" x14ac:dyDescent="0.25">
      <c r="A40" s="1">
        <v>37316</v>
      </c>
      <c r="B40">
        <v>0.6</v>
      </c>
    </row>
    <row r="41" spans="1:2" x14ac:dyDescent="0.25">
      <c r="A41" s="1">
        <v>37347</v>
      </c>
      <c r="B41">
        <v>0.8</v>
      </c>
    </row>
    <row r="42" spans="1:2" x14ac:dyDescent="0.25">
      <c r="A42" s="1">
        <v>37377</v>
      </c>
      <c r="B42">
        <v>0.21</v>
      </c>
    </row>
    <row r="43" spans="1:2" x14ac:dyDescent="0.25">
      <c r="A43" s="1">
        <v>37408</v>
      </c>
      <c r="B43">
        <v>0.42</v>
      </c>
    </row>
    <row r="44" spans="1:2" x14ac:dyDescent="0.25">
      <c r="A44" s="1">
        <v>37438</v>
      </c>
      <c r="B44">
        <v>1.19</v>
      </c>
    </row>
    <row r="45" spans="1:2" x14ac:dyDescent="0.25">
      <c r="A45" s="1">
        <v>37469</v>
      </c>
      <c r="B45">
        <v>0.65</v>
      </c>
    </row>
    <row r="46" spans="1:2" x14ac:dyDescent="0.25">
      <c r="A46" s="1">
        <v>37500</v>
      </c>
      <c r="B46">
        <v>0.72</v>
      </c>
    </row>
    <row r="47" spans="1:2" x14ac:dyDescent="0.25">
      <c r="A47" s="1">
        <v>37530</v>
      </c>
      <c r="B47">
        <v>1.31</v>
      </c>
    </row>
    <row r="48" spans="1:2" x14ac:dyDescent="0.25">
      <c r="A48" s="1">
        <v>37561</v>
      </c>
      <c r="B48">
        <v>3.02</v>
      </c>
    </row>
    <row r="49" spans="1:2" x14ac:dyDescent="0.25">
      <c r="A49" s="1">
        <v>37591</v>
      </c>
      <c r="B49">
        <v>2.1</v>
      </c>
    </row>
    <row r="50" spans="1:2" x14ac:dyDescent="0.25">
      <c r="A50" s="1">
        <v>37622</v>
      </c>
      <c r="B50">
        <v>2.25</v>
      </c>
    </row>
    <row r="51" spans="1:2" x14ac:dyDescent="0.25">
      <c r="A51" s="1">
        <v>37653</v>
      </c>
      <c r="B51">
        <v>1.57</v>
      </c>
    </row>
    <row r="52" spans="1:2" x14ac:dyDescent="0.25">
      <c r="A52" s="1">
        <v>37681</v>
      </c>
      <c r="B52">
        <v>1.23</v>
      </c>
    </row>
    <row r="53" spans="1:2" x14ac:dyDescent="0.25">
      <c r="A53" s="1">
        <v>37712</v>
      </c>
      <c r="B53">
        <v>0.97</v>
      </c>
    </row>
    <row r="54" spans="1:2" x14ac:dyDescent="0.25">
      <c r="A54" s="1">
        <v>37742</v>
      </c>
      <c r="B54">
        <v>0.61</v>
      </c>
    </row>
    <row r="55" spans="1:2" x14ac:dyDescent="0.25">
      <c r="A55" s="1">
        <v>37773</v>
      </c>
      <c r="B55">
        <v>-0.15</v>
      </c>
    </row>
    <row r="56" spans="1:2" x14ac:dyDescent="0.25">
      <c r="A56" s="1">
        <v>37803</v>
      </c>
      <c r="B56">
        <v>0.2</v>
      </c>
    </row>
    <row r="57" spans="1:2" x14ac:dyDescent="0.25">
      <c r="A57" s="1">
        <v>37834</v>
      </c>
      <c r="B57">
        <v>0.34</v>
      </c>
    </row>
    <row r="58" spans="1:2" x14ac:dyDescent="0.25">
      <c r="A58" s="1">
        <v>37865</v>
      </c>
      <c r="B58">
        <v>0.78</v>
      </c>
    </row>
    <row r="59" spans="1:2" x14ac:dyDescent="0.25">
      <c r="A59" s="1">
        <v>37895</v>
      </c>
      <c r="B59">
        <v>0.28999999999999998</v>
      </c>
    </row>
    <row r="60" spans="1:2" x14ac:dyDescent="0.25">
      <c r="A60" s="1">
        <v>37926</v>
      </c>
      <c r="B60">
        <v>0.34</v>
      </c>
    </row>
    <row r="61" spans="1:2" x14ac:dyDescent="0.25">
      <c r="A61" s="1">
        <v>37956</v>
      </c>
      <c r="B61">
        <v>0.52</v>
      </c>
    </row>
    <row r="62" spans="1:2" x14ac:dyDescent="0.25">
      <c r="A62" s="1">
        <v>37987</v>
      </c>
      <c r="B62">
        <v>0.76</v>
      </c>
    </row>
    <row r="63" spans="1:2" x14ac:dyDescent="0.25">
      <c r="A63" s="1">
        <v>38018</v>
      </c>
      <c r="B63">
        <v>0.61</v>
      </c>
    </row>
    <row r="64" spans="1:2" x14ac:dyDescent="0.25">
      <c r="A64" s="1">
        <v>38047</v>
      </c>
      <c r="B64">
        <v>0.47</v>
      </c>
    </row>
    <row r="65" spans="1:2" x14ac:dyDescent="0.25">
      <c r="A65" s="1">
        <v>38078</v>
      </c>
      <c r="B65">
        <v>0.37</v>
      </c>
    </row>
    <row r="66" spans="1:2" x14ac:dyDescent="0.25">
      <c r="A66" s="1">
        <v>38108</v>
      </c>
      <c r="B66">
        <v>0.51</v>
      </c>
    </row>
    <row r="67" spans="1:2" x14ac:dyDescent="0.25">
      <c r="A67" s="1">
        <v>38139</v>
      </c>
      <c r="B67">
        <v>0.71</v>
      </c>
    </row>
    <row r="68" spans="1:2" x14ac:dyDescent="0.25">
      <c r="A68" s="1">
        <v>38169</v>
      </c>
      <c r="B68">
        <v>0.91</v>
      </c>
    </row>
    <row r="69" spans="1:2" x14ac:dyDescent="0.25">
      <c r="A69" s="1">
        <v>38200</v>
      </c>
      <c r="B69">
        <v>0.69</v>
      </c>
    </row>
    <row r="70" spans="1:2" x14ac:dyDescent="0.25">
      <c r="A70" s="1">
        <v>38231</v>
      </c>
      <c r="B70">
        <v>0.33</v>
      </c>
    </row>
    <row r="71" spans="1:2" x14ac:dyDescent="0.25">
      <c r="A71" s="1">
        <v>38261</v>
      </c>
      <c r="B71">
        <v>0.44</v>
      </c>
    </row>
    <row r="72" spans="1:2" x14ac:dyDescent="0.25">
      <c r="A72" s="1">
        <v>38292</v>
      </c>
      <c r="B72">
        <v>0.69</v>
      </c>
    </row>
    <row r="73" spans="1:2" x14ac:dyDescent="0.25">
      <c r="A73" s="1">
        <v>38322</v>
      </c>
      <c r="B73">
        <v>0.86</v>
      </c>
    </row>
    <row r="74" spans="1:2" x14ac:dyDescent="0.25">
      <c r="A74" s="1">
        <v>38353</v>
      </c>
      <c r="B74">
        <v>0.57999999999999996</v>
      </c>
    </row>
    <row r="75" spans="1:2" x14ac:dyDescent="0.25">
      <c r="A75" s="1">
        <v>38384</v>
      </c>
      <c r="B75">
        <v>0.59</v>
      </c>
    </row>
    <row r="76" spans="1:2" x14ac:dyDescent="0.25">
      <c r="A76" s="1">
        <v>38412</v>
      </c>
      <c r="B76">
        <v>0.61</v>
      </c>
    </row>
    <row r="77" spans="1:2" x14ac:dyDescent="0.25">
      <c r="A77" s="1">
        <v>38443</v>
      </c>
      <c r="B77">
        <v>0.87</v>
      </c>
    </row>
    <row r="78" spans="1:2" x14ac:dyDescent="0.25">
      <c r="A78" s="1">
        <v>38473</v>
      </c>
      <c r="B78">
        <v>0.49</v>
      </c>
    </row>
    <row r="79" spans="1:2" x14ac:dyDescent="0.25">
      <c r="A79" s="1">
        <v>38504</v>
      </c>
      <c r="B79">
        <v>-0.02</v>
      </c>
    </row>
    <row r="80" spans="1:2" x14ac:dyDescent="0.25">
      <c r="A80" s="1">
        <v>38534</v>
      </c>
      <c r="B80">
        <v>0.25</v>
      </c>
    </row>
    <row r="81" spans="1:2" x14ac:dyDescent="0.25">
      <c r="A81" s="1">
        <v>38565</v>
      </c>
      <c r="B81">
        <v>0.17</v>
      </c>
    </row>
    <row r="82" spans="1:2" x14ac:dyDescent="0.25">
      <c r="A82" s="1">
        <v>38596</v>
      </c>
      <c r="B82">
        <v>0.35</v>
      </c>
    </row>
    <row r="83" spans="1:2" x14ac:dyDescent="0.25">
      <c r="A83" s="1">
        <v>38626</v>
      </c>
      <c r="B83">
        <v>0.75</v>
      </c>
    </row>
    <row r="84" spans="1:2" x14ac:dyDescent="0.25">
      <c r="A84" s="1">
        <v>38657</v>
      </c>
      <c r="B84">
        <v>0.55000000000000004</v>
      </c>
    </row>
    <row r="85" spans="1:2" x14ac:dyDescent="0.25">
      <c r="A85" s="1">
        <v>38687</v>
      </c>
      <c r="B85">
        <v>0.36</v>
      </c>
    </row>
    <row r="86" spans="1:2" x14ac:dyDescent="0.25">
      <c r="A86" s="1">
        <v>38718</v>
      </c>
      <c r="B86">
        <v>0.59</v>
      </c>
    </row>
    <row r="87" spans="1:2" x14ac:dyDescent="0.25">
      <c r="A87" s="1">
        <v>38749</v>
      </c>
      <c r="B87">
        <v>0.41</v>
      </c>
    </row>
    <row r="88" spans="1:2" x14ac:dyDescent="0.25">
      <c r="A88" s="1">
        <v>38777</v>
      </c>
      <c r="B88">
        <v>0.43</v>
      </c>
    </row>
    <row r="89" spans="1:2" x14ac:dyDescent="0.25">
      <c r="A89" s="1">
        <v>38808</v>
      </c>
      <c r="B89">
        <v>0.21</v>
      </c>
    </row>
    <row r="90" spans="1:2" x14ac:dyDescent="0.25">
      <c r="A90" s="1">
        <v>38838</v>
      </c>
      <c r="B90">
        <v>0.1</v>
      </c>
    </row>
    <row r="91" spans="1:2" x14ac:dyDescent="0.25">
      <c r="A91" s="1">
        <v>38869</v>
      </c>
      <c r="B91">
        <v>-0.21</v>
      </c>
    </row>
    <row r="92" spans="1:2" x14ac:dyDescent="0.25">
      <c r="A92" s="1">
        <v>38899</v>
      </c>
      <c r="B92">
        <v>0.19</v>
      </c>
    </row>
    <row r="93" spans="1:2" x14ac:dyDescent="0.25">
      <c r="A93" s="1">
        <v>38930</v>
      </c>
      <c r="B93">
        <v>0.05</v>
      </c>
    </row>
    <row r="94" spans="1:2" x14ac:dyDescent="0.25">
      <c r="A94" s="1">
        <v>38961</v>
      </c>
      <c r="B94">
        <v>0.21</v>
      </c>
    </row>
    <row r="95" spans="1:2" x14ac:dyDescent="0.25">
      <c r="A95" s="1">
        <v>38991</v>
      </c>
      <c r="B95">
        <v>0.33</v>
      </c>
    </row>
    <row r="96" spans="1:2" x14ac:dyDescent="0.25">
      <c r="A96" s="1">
        <v>39022</v>
      </c>
      <c r="B96">
        <v>0.31</v>
      </c>
    </row>
    <row r="97" spans="1:2" x14ac:dyDescent="0.25">
      <c r="A97" s="1">
        <v>39052</v>
      </c>
      <c r="B97">
        <v>0.48</v>
      </c>
    </row>
    <row r="98" spans="1:2" x14ac:dyDescent="0.25">
      <c r="A98" s="1">
        <v>39083</v>
      </c>
      <c r="B98">
        <v>0.44</v>
      </c>
    </row>
    <row r="99" spans="1:2" x14ac:dyDescent="0.25">
      <c r="A99" s="1">
        <v>39114</v>
      </c>
      <c r="B99">
        <v>0.44</v>
      </c>
    </row>
    <row r="100" spans="1:2" x14ac:dyDescent="0.25">
      <c r="A100" s="1">
        <v>39142</v>
      </c>
      <c r="B100">
        <v>0.37</v>
      </c>
    </row>
    <row r="101" spans="1:2" x14ac:dyDescent="0.25">
      <c r="A101" s="1">
        <v>39173</v>
      </c>
      <c r="B101">
        <v>0.25</v>
      </c>
    </row>
    <row r="102" spans="1:2" x14ac:dyDescent="0.25">
      <c r="A102" s="1">
        <v>39203</v>
      </c>
      <c r="B102">
        <v>0.28000000000000003</v>
      </c>
    </row>
    <row r="103" spans="1:2" x14ac:dyDescent="0.25">
      <c r="A103" s="1">
        <v>39234</v>
      </c>
      <c r="B103">
        <v>0.28000000000000003</v>
      </c>
    </row>
    <row r="104" spans="1:2" x14ac:dyDescent="0.25">
      <c r="A104" s="1">
        <v>39264</v>
      </c>
      <c r="B104">
        <v>0.24</v>
      </c>
    </row>
    <row r="105" spans="1:2" x14ac:dyDescent="0.25">
      <c r="A105" s="1">
        <v>39295</v>
      </c>
      <c r="B105">
        <v>0.47</v>
      </c>
    </row>
    <row r="106" spans="1:2" x14ac:dyDescent="0.25">
      <c r="A106" s="1">
        <v>39326</v>
      </c>
      <c r="B106">
        <v>0.18</v>
      </c>
    </row>
    <row r="107" spans="1:2" x14ac:dyDescent="0.25">
      <c r="A107" s="1">
        <v>39356</v>
      </c>
      <c r="B107">
        <v>0.3</v>
      </c>
    </row>
    <row r="108" spans="1:2" x14ac:dyDescent="0.25">
      <c r="A108" s="1">
        <v>39387</v>
      </c>
      <c r="B108">
        <v>0.38</v>
      </c>
    </row>
    <row r="109" spans="1:2" x14ac:dyDescent="0.25">
      <c r="A109" s="1">
        <v>39417</v>
      </c>
      <c r="B109">
        <v>0.74</v>
      </c>
    </row>
    <row r="110" spans="1:2" x14ac:dyDescent="0.25">
      <c r="A110" s="1">
        <v>39448</v>
      </c>
      <c r="B110">
        <v>0.54</v>
      </c>
    </row>
    <row r="111" spans="1:2" x14ac:dyDescent="0.25">
      <c r="A111" s="1">
        <v>39479</v>
      </c>
      <c r="B111">
        <v>0.49</v>
      </c>
    </row>
    <row r="112" spans="1:2" x14ac:dyDescent="0.25">
      <c r="A112" s="1">
        <v>39508</v>
      </c>
      <c r="B112">
        <v>0.48</v>
      </c>
    </row>
    <row r="113" spans="1:2" x14ac:dyDescent="0.25">
      <c r="A113" s="1">
        <v>39539</v>
      </c>
      <c r="B113">
        <v>0.55000000000000004</v>
      </c>
    </row>
    <row r="114" spans="1:2" x14ac:dyDescent="0.25">
      <c r="A114" s="1">
        <v>39569</v>
      </c>
      <c r="B114">
        <v>0.79</v>
      </c>
    </row>
    <row r="115" spans="1:2" x14ac:dyDescent="0.25">
      <c r="A115" s="1">
        <v>39600</v>
      </c>
      <c r="B115">
        <v>0.74</v>
      </c>
    </row>
    <row r="116" spans="1:2" x14ac:dyDescent="0.25">
      <c r="A116" s="1">
        <v>39630</v>
      </c>
      <c r="B116">
        <v>0.53</v>
      </c>
    </row>
    <row r="117" spans="1:2" x14ac:dyDescent="0.25">
      <c r="A117" s="1">
        <v>39661</v>
      </c>
      <c r="B117">
        <v>0.28000000000000003</v>
      </c>
    </row>
    <row r="118" spans="1:2" x14ac:dyDescent="0.25">
      <c r="A118" s="1">
        <v>39692</v>
      </c>
      <c r="B118">
        <v>0.26</v>
      </c>
    </row>
    <row r="119" spans="1:2" x14ac:dyDescent="0.25">
      <c r="A119" s="1">
        <v>39722</v>
      </c>
      <c r="B119">
        <v>0.45</v>
      </c>
    </row>
    <row r="120" spans="1:2" x14ac:dyDescent="0.25">
      <c r="A120" s="1">
        <v>39753</v>
      </c>
      <c r="B120">
        <v>0.36</v>
      </c>
    </row>
    <row r="121" spans="1:2" x14ac:dyDescent="0.25">
      <c r="A121" s="1">
        <v>39783</v>
      </c>
      <c r="B121">
        <v>0.28000000000000003</v>
      </c>
    </row>
    <row r="122" spans="1:2" x14ac:dyDescent="0.25">
      <c r="A122" s="1">
        <v>39814</v>
      </c>
      <c r="B122">
        <v>0.48</v>
      </c>
    </row>
    <row r="123" spans="1:2" x14ac:dyDescent="0.25">
      <c r="A123" s="1">
        <v>39845</v>
      </c>
      <c r="B123">
        <v>0.55000000000000004</v>
      </c>
    </row>
    <row r="124" spans="1:2" x14ac:dyDescent="0.25">
      <c r="A124" s="1">
        <v>39873</v>
      </c>
      <c r="B124">
        <v>0.2</v>
      </c>
    </row>
    <row r="125" spans="1:2" x14ac:dyDescent="0.25">
      <c r="A125" s="1">
        <v>39904</v>
      </c>
      <c r="B125">
        <v>0.48</v>
      </c>
    </row>
    <row r="126" spans="1:2" x14ac:dyDescent="0.25">
      <c r="A126" s="1">
        <v>39934</v>
      </c>
      <c r="B126">
        <v>0.47</v>
      </c>
    </row>
    <row r="127" spans="1:2" x14ac:dyDescent="0.25">
      <c r="A127" s="1">
        <v>39965</v>
      </c>
      <c r="B127">
        <v>0.36</v>
      </c>
    </row>
    <row r="128" spans="1:2" x14ac:dyDescent="0.25">
      <c r="A128" s="1">
        <v>39995</v>
      </c>
      <c r="B128">
        <v>0.24</v>
      </c>
    </row>
    <row r="129" spans="1:2" x14ac:dyDescent="0.25">
      <c r="A129" s="1">
        <v>40026</v>
      </c>
      <c r="B129">
        <v>0.15</v>
      </c>
    </row>
    <row r="130" spans="1:2" x14ac:dyDescent="0.25">
      <c r="A130" s="1">
        <v>40057</v>
      </c>
      <c r="B130">
        <v>0.24</v>
      </c>
    </row>
    <row r="131" spans="1:2" x14ac:dyDescent="0.25">
      <c r="A131" s="1">
        <v>40087</v>
      </c>
      <c r="B131">
        <v>0.28000000000000003</v>
      </c>
    </row>
    <row r="132" spans="1:2" x14ac:dyDescent="0.25">
      <c r="A132" s="1">
        <v>40118</v>
      </c>
      <c r="B132">
        <v>0.41</v>
      </c>
    </row>
    <row r="133" spans="1:2" x14ac:dyDescent="0.25">
      <c r="A133" s="1">
        <v>40148</v>
      </c>
      <c r="B133">
        <v>0.37</v>
      </c>
    </row>
    <row r="134" spans="1:2" x14ac:dyDescent="0.25">
      <c r="A134" s="1">
        <v>40179</v>
      </c>
      <c r="B134">
        <v>0.75</v>
      </c>
    </row>
    <row r="135" spans="1:2" x14ac:dyDescent="0.25">
      <c r="A135" s="1">
        <v>40210</v>
      </c>
      <c r="B135">
        <v>0.78</v>
      </c>
    </row>
    <row r="136" spans="1:2" x14ac:dyDescent="0.25">
      <c r="A136" s="1">
        <v>40238</v>
      </c>
      <c r="B136">
        <v>0.52</v>
      </c>
    </row>
    <row r="137" spans="1:2" x14ac:dyDescent="0.25">
      <c r="A137" s="1">
        <v>40269</v>
      </c>
      <c r="B137">
        <v>0.56999999999999995</v>
      </c>
    </row>
    <row r="138" spans="1:2" x14ac:dyDescent="0.25">
      <c r="A138" s="1">
        <v>40299</v>
      </c>
      <c r="B138">
        <v>0.43</v>
      </c>
    </row>
    <row r="139" spans="1:2" x14ac:dyDescent="0.25">
      <c r="A139" s="1">
        <v>40330</v>
      </c>
      <c r="B139">
        <v>0</v>
      </c>
    </row>
    <row r="140" spans="1:2" x14ac:dyDescent="0.25">
      <c r="A140" s="1">
        <v>40360</v>
      </c>
      <c r="B140">
        <v>0.01</v>
      </c>
    </row>
    <row r="141" spans="1:2" x14ac:dyDescent="0.25">
      <c r="A141" s="1">
        <v>40391</v>
      </c>
      <c r="B141">
        <v>0.04</v>
      </c>
    </row>
    <row r="142" spans="1:2" x14ac:dyDescent="0.25">
      <c r="A142" s="1">
        <v>40422</v>
      </c>
      <c r="B142">
        <v>0.45</v>
      </c>
    </row>
    <row r="143" spans="1:2" x14ac:dyDescent="0.25">
      <c r="A143" s="1">
        <v>40452</v>
      </c>
      <c r="B143">
        <v>0.75</v>
      </c>
    </row>
    <row r="144" spans="1:2" x14ac:dyDescent="0.25">
      <c r="A144" s="1">
        <v>40483</v>
      </c>
      <c r="B144">
        <v>0.83</v>
      </c>
    </row>
    <row r="145" spans="1:2" x14ac:dyDescent="0.25">
      <c r="A145" s="1">
        <v>40513</v>
      </c>
      <c r="B145">
        <v>0.63</v>
      </c>
    </row>
    <row r="146" spans="1:2" x14ac:dyDescent="0.25">
      <c r="A146" s="1">
        <v>40544</v>
      </c>
      <c r="B146">
        <v>0.83</v>
      </c>
    </row>
    <row r="147" spans="1:2" x14ac:dyDescent="0.25">
      <c r="A147" s="1">
        <v>40575</v>
      </c>
      <c r="B147">
        <v>0.8</v>
      </c>
    </row>
    <row r="148" spans="1:2" x14ac:dyDescent="0.25">
      <c r="A148" s="1">
        <v>40603</v>
      </c>
      <c r="B148">
        <v>0.79</v>
      </c>
    </row>
    <row r="149" spans="1:2" x14ac:dyDescent="0.25">
      <c r="A149" s="1">
        <v>40634</v>
      </c>
      <c r="B149">
        <v>0.77</v>
      </c>
    </row>
    <row r="150" spans="1:2" x14ac:dyDescent="0.25">
      <c r="A150" s="1">
        <v>40664</v>
      </c>
      <c r="B150">
        <v>0.47</v>
      </c>
    </row>
    <row r="151" spans="1:2" x14ac:dyDescent="0.25">
      <c r="A151" s="1">
        <v>40695</v>
      </c>
      <c r="B151">
        <v>0.15</v>
      </c>
    </row>
    <row r="152" spans="1:2" x14ac:dyDescent="0.25">
      <c r="A152" s="1">
        <v>40725</v>
      </c>
      <c r="B152">
        <v>0.16</v>
      </c>
    </row>
    <row r="153" spans="1:2" x14ac:dyDescent="0.25">
      <c r="A153" s="1">
        <v>40756</v>
      </c>
      <c r="B153">
        <v>0.37</v>
      </c>
    </row>
    <row r="154" spans="1:2" x14ac:dyDescent="0.25">
      <c r="A154" s="1">
        <v>40787</v>
      </c>
      <c r="B154">
        <v>0.53</v>
      </c>
    </row>
    <row r="155" spans="1:2" x14ac:dyDescent="0.25">
      <c r="A155" s="1">
        <v>40817</v>
      </c>
      <c r="B155">
        <v>0.43</v>
      </c>
    </row>
    <row r="156" spans="1:2" x14ac:dyDescent="0.25">
      <c r="A156" s="1">
        <v>40848</v>
      </c>
      <c r="B156">
        <v>0.52</v>
      </c>
    </row>
    <row r="157" spans="1:2" x14ac:dyDescent="0.25">
      <c r="A157" s="1">
        <v>40878</v>
      </c>
      <c r="B157">
        <v>0.5</v>
      </c>
    </row>
    <row r="158" spans="1:2" x14ac:dyDescent="0.25">
      <c r="A158" s="1">
        <v>40909</v>
      </c>
      <c r="B158">
        <v>0.56000000000000005</v>
      </c>
    </row>
    <row r="159" spans="1:2" x14ac:dyDescent="0.25">
      <c r="A159" s="1">
        <v>40940</v>
      </c>
      <c r="B159">
        <v>0.45</v>
      </c>
    </row>
    <row r="160" spans="1:2" x14ac:dyDescent="0.25">
      <c r="A160" s="1">
        <v>40969</v>
      </c>
      <c r="B160">
        <v>0.21</v>
      </c>
    </row>
    <row r="161" spans="1:2" x14ac:dyDescent="0.25">
      <c r="A161" s="1">
        <v>41000</v>
      </c>
      <c r="B161">
        <v>0.64</v>
      </c>
    </row>
    <row r="162" spans="1:2" x14ac:dyDescent="0.25">
      <c r="A162" s="1">
        <v>41030</v>
      </c>
      <c r="B162">
        <v>0.36</v>
      </c>
    </row>
    <row r="163" spans="1:2" x14ac:dyDescent="0.25">
      <c r="A163" s="1">
        <v>41061</v>
      </c>
      <c r="B163">
        <v>0.08</v>
      </c>
    </row>
    <row r="164" spans="1:2" x14ac:dyDescent="0.25">
      <c r="A164" s="1">
        <v>41091</v>
      </c>
      <c r="B164">
        <v>0.43</v>
      </c>
    </row>
    <row r="165" spans="1:2" x14ac:dyDescent="0.25">
      <c r="A165" s="1">
        <v>41122</v>
      </c>
      <c r="B165">
        <v>0.41</v>
      </c>
    </row>
    <row r="166" spans="1:2" x14ac:dyDescent="0.25">
      <c r="A166" s="1">
        <v>41153</v>
      </c>
      <c r="B166">
        <v>0.56999999999999995</v>
      </c>
    </row>
    <row r="167" spans="1:2" x14ac:dyDescent="0.25">
      <c r="A167" s="1">
        <v>41183</v>
      </c>
      <c r="B167">
        <v>0.59</v>
      </c>
    </row>
    <row r="168" spans="1:2" x14ac:dyDescent="0.25">
      <c r="A168" s="1">
        <v>41214</v>
      </c>
      <c r="B168">
        <v>0.6</v>
      </c>
    </row>
    <row r="169" spans="1:2" x14ac:dyDescent="0.25">
      <c r="A169" s="1">
        <v>41244</v>
      </c>
      <c r="B169">
        <v>0.79</v>
      </c>
    </row>
    <row r="170" spans="1:2" x14ac:dyDescent="0.25">
      <c r="A170" s="1">
        <v>41275</v>
      </c>
      <c r="B170">
        <v>0.86</v>
      </c>
    </row>
    <row r="171" spans="1:2" x14ac:dyDescent="0.25">
      <c r="A171" s="1">
        <v>41306</v>
      </c>
      <c r="B171">
        <v>0.6</v>
      </c>
    </row>
    <row r="172" spans="1:2" x14ac:dyDescent="0.25">
      <c r="A172" s="1">
        <v>41334</v>
      </c>
      <c r="B172">
        <v>0.47</v>
      </c>
    </row>
    <row r="173" spans="1:2" x14ac:dyDescent="0.25">
      <c r="A173" s="1">
        <v>41365</v>
      </c>
      <c r="B173">
        <v>0.55000000000000004</v>
      </c>
    </row>
    <row r="174" spans="1:2" x14ac:dyDescent="0.25">
      <c r="A174" s="1">
        <v>41395</v>
      </c>
      <c r="B174">
        <v>0.37</v>
      </c>
    </row>
    <row r="175" spans="1:2" x14ac:dyDescent="0.25">
      <c r="A175" s="1">
        <v>41426</v>
      </c>
      <c r="B175">
        <v>0.26</v>
      </c>
    </row>
    <row r="176" spans="1:2" x14ac:dyDescent="0.25">
      <c r="A176" s="1">
        <v>41456</v>
      </c>
      <c r="B176">
        <v>0.03</v>
      </c>
    </row>
    <row r="177" spans="1:2" x14ac:dyDescent="0.25">
      <c r="A177" s="1">
        <v>41487</v>
      </c>
      <c r="B177">
        <v>0.24</v>
      </c>
    </row>
    <row r="178" spans="1:2" x14ac:dyDescent="0.25">
      <c r="A178" s="1">
        <v>41518</v>
      </c>
      <c r="B178">
        <v>0.35</v>
      </c>
    </row>
    <row r="179" spans="1:2" x14ac:dyDescent="0.25">
      <c r="A179" s="1">
        <v>41548</v>
      </c>
      <c r="B179">
        <v>0.56999999999999995</v>
      </c>
    </row>
    <row r="180" spans="1:2" x14ac:dyDescent="0.25">
      <c r="A180" s="1">
        <v>41579</v>
      </c>
      <c r="B180">
        <v>0.54</v>
      </c>
    </row>
    <row r="181" spans="1:2" x14ac:dyDescent="0.25">
      <c r="A181" s="1">
        <v>41609</v>
      </c>
      <c r="B181">
        <v>0.92</v>
      </c>
    </row>
    <row r="182" spans="1:2" x14ac:dyDescent="0.25">
      <c r="A182" s="1">
        <v>41640</v>
      </c>
      <c r="B182">
        <v>0.55000000000000004</v>
      </c>
    </row>
    <row r="183" spans="1:2" x14ac:dyDescent="0.25">
      <c r="A183" s="1">
        <v>41671</v>
      </c>
      <c r="B183">
        <v>0.69</v>
      </c>
    </row>
    <row r="184" spans="1:2" x14ac:dyDescent="0.25">
      <c r="A184" s="1">
        <v>41699</v>
      </c>
      <c r="B184">
        <v>0.92</v>
      </c>
    </row>
    <row r="185" spans="1:2" x14ac:dyDescent="0.25">
      <c r="A185" s="1">
        <v>41730</v>
      </c>
      <c r="B185">
        <v>0.67</v>
      </c>
    </row>
    <row r="186" spans="1:2" x14ac:dyDescent="0.25">
      <c r="A186" s="1">
        <v>41760</v>
      </c>
      <c r="B186">
        <v>0.46</v>
      </c>
    </row>
    <row r="187" spans="1:2" x14ac:dyDescent="0.25">
      <c r="A187" s="1">
        <v>41791</v>
      </c>
      <c r="B187">
        <v>0.4</v>
      </c>
    </row>
    <row r="188" spans="1:2" x14ac:dyDescent="0.25">
      <c r="A188" s="1">
        <v>41821</v>
      </c>
      <c r="B188">
        <v>0.01</v>
      </c>
    </row>
    <row r="189" spans="1:2" x14ac:dyDescent="0.25">
      <c r="A189" s="1">
        <v>41852</v>
      </c>
      <c r="B189">
        <v>0.25</v>
      </c>
    </row>
    <row r="190" spans="1:2" x14ac:dyDescent="0.25">
      <c r="A190" s="1">
        <v>41883</v>
      </c>
      <c r="B190">
        <v>0.56999999999999995</v>
      </c>
    </row>
    <row r="191" spans="1:2" x14ac:dyDescent="0.25">
      <c r="A191" s="1">
        <v>41913</v>
      </c>
      <c r="B191">
        <v>0.42</v>
      </c>
    </row>
    <row r="192" spans="1:2" x14ac:dyDescent="0.25">
      <c r="A192" s="1">
        <v>41944</v>
      </c>
      <c r="B192">
        <v>0.51</v>
      </c>
    </row>
    <row r="193" spans="1:2" x14ac:dyDescent="0.25">
      <c r="A193" s="1">
        <v>41974</v>
      </c>
      <c r="B193">
        <v>0.78</v>
      </c>
    </row>
    <row r="194" spans="1:2" x14ac:dyDescent="0.25">
      <c r="A194" s="1">
        <v>42005</v>
      </c>
      <c r="B194">
        <v>1.24</v>
      </c>
    </row>
    <row r="195" spans="1:2" x14ac:dyDescent="0.25">
      <c r="A195" s="1">
        <v>42036</v>
      </c>
      <c r="B195">
        <v>1.22</v>
      </c>
    </row>
    <row r="196" spans="1:2" x14ac:dyDescent="0.25">
      <c r="A196" s="1">
        <v>42064</v>
      </c>
      <c r="B196">
        <v>1.32</v>
      </c>
    </row>
    <row r="197" spans="1:2" x14ac:dyDescent="0.25">
      <c r="A197" s="1">
        <v>42095</v>
      </c>
      <c r="B197">
        <v>0.71</v>
      </c>
    </row>
    <row r="198" spans="1:2" x14ac:dyDescent="0.25">
      <c r="A198" s="1">
        <v>42125</v>
      </c>
      <c r="B198">
        <v>0.74</v>
      </c>
    </row>
    <row r="199" spans="1:2" x14ac:dyDescent="0.25">
      <c r="A199" s="1">
        <v>42156</v>
      </c>
      <c r="B199">
        <v>0.79</v>
      </c>
    </row>
    <row r="200" spans="1:2" x14ac:dyDescent="0.25">
      <c r="A200" s="1">
        <v>42186</v>
      </c>
      <c r="B200">
        <v>0.62</v>
      </c>
    </row>
    <row r="201" spans="1:2" x14ac:dyDescent="0.25">
      <c r="A201" s="1">
        <v>42217</v>
      </c>
      <c r="B201">
        <v>0.22</v>
      </c>
    </row>
    <row r="202" spans="1:2" x14ac:dyDescent="0.25">
      <c r="A202" s="1">
        <v>42248</v>
      </c>
      <c r="B202">
        <v>0.54</v>
      </c>
    </row>
    <row r="203" spans="1:2" x14ac:dyDescent="0.25">
      <c r="A203" s="1">
        <v>42278</v>
      </c>
      <c r="B203">
        <v>0.82</v>
      </c>
    </row>
    <row r="204" spans="1:2" x14ac:dyDescent="0.25">
      <c r="A204" s="1">
        <v>42309</v>
      </c>
      <c r="B204">
        <v>1.01</v>
      </c>
    </row>
    <row r="205" spans="1:2" x14ac:dyDescent="0.25">
      <c r="A205" s="1">
        <v>42339</v>
      </c>
      <c r="B205">
        <v>0.96</v>
      </c>
    </row>
    <row r="206" spans="1:2" x14ac:dyDescent="0.25">
      <c r="A206" s="1">
        <v>42370</v>
      </c>
      <c r="B206">
        <v>1.27</v>
      </c>
    </row>
    <row r="207" spans="1:2" x14ac:dyDescent="0.25">
      <c r="A207" s="1">
        <v>42401</v>
      </c>
      <c r="B207">
        <v>0.9</v>
      </c>
    </row>
    <row r="208" spans="1:2" x14ac:dyDescent="0.25">
      <c r="A208" s="1">
        <v>42430</v>
      </c>
      <c r="B208">
        <v>0.43</v>
      </c>
    </row>
    <row r="209" spans="1:2" x14ac:dyDescent="0.25">
      <c r="A209" s="1">
        <v>42461</v>
      </c>
      <c r="B209">
        <v>0.61</v>
      </c>
    </row>
    <row r="210" spans="1:2" x14ac:dyDescent="0.25">
      <c r="A210" s="1">
        <v>42491</v>
      </c>
      <c r="B210">
        <v>0.78</v>
      </c>
    </row>
    <row r="211" spans="1:2" x14ac:dyDescent="0.25">
      <c r="A211" s="1">
        <v>42522</v>
      </c>
      <c r="B211">
        <v>0.35</v>
      </c>
    </row>
    <row r="212" spans="1:2" x14ac:dyDescent="0.25">
      <c r="A212" s="1">
        <v>42552</v>
      </c>
      <c r="B212">
        <v>0.52</v>
      </c>
    </row>
    <row r="213" spans="1:2" x14ac:dyDescent="0.25">
      <c r="A213" s="1">
        <v>42583</v>
      </c>
      <c r="B213">
        <v>0.44</v>
      </c>
    </row>
    <row r="214" spans="1:2" x14ac:dyDescent="0.25">
      <c r="A214" s="1">
        <v>42614</v>
      </c>
      <c r="B214">
        <v>0.08</v>
      </c>
    </row>
    <row r="215" spans="1:2" x14ac:dyDescent="0.25">
      <c r="A215" s="1">
        <v>42644</v>
      </c>
      <c r="B215">
        <v>0.26</v>
      </c>
    </row>
    <row r="216" spans="1:2" x14ac:dyDescent="0.25">
      <c r="A216" s="1">
        <v>42675</v>
      </c>
      <c r="B216">
        <v>0.18</v>
      </c>
    </row>
    <row r="217" spans="1:2" x14ac:dyDescent="0.25">
      <c r="A217" s="1">
        <v>42705</v>
      </c>
      <c r="B217">
        <v>0.3</v>
      </c>
    </row>
    <row r="218" spans="1:2" x14ac:dyDescent="0.25">
      <c r="A218" s="1">
        <v>42736</v>
      </c>
      <c r="B218">
        <v>0.38</v>
      </c>
    </row>
    <row r="219" spans="1:2" x14ac:dyDescent="0.25">
      <c r="A219" s="1">
        <v>42767</v>
      </c>
      <c r="B219">
        <v>0.33</v>
      </c>
    </row>
    <row r="220" spans="1:2" x14ac:dyDescent="0.25">
      <c r="A220" s="1">
        <v>42795</v>
      </c>
      <c r="B220">
        <v>0.25</v>
      </c>
    </row>
    <row r="221" spans="1:2" x14ac:dyDescent="0.25">
      <c r="A221" s="1">
        <v>42826</v>
      </c>
      <c r="B221">
        <v>0.14000000000000001</v>
      </c>
    </row>
    <row r="222" spans="1:2" x14ac:dyDescent="0.25">
      <c r="A222" s="1">
        <v>42856</v>
      </c>
      <c r="B222">
        <v>0.31</v>
      </c>
    </row>
    <row r="223" spans="1:2" x14ac:dyDescent="0.25">
      <c r="A223" s="1">
        <v>42887</v>
      </c>
      <c r="B223">
        <v>-0.23</v>
      </c>
    </row>
    <row r="224" spans="1:2" x14ac:dyDescent="0.25">
      <c r="A224" s="1">
        <v>42917</v>
      </c>
      <c r="B224">
        <v>0.24</v>
      </c>
    </row>
    <row r="225" spans="1:2" x14ac:dyDescent="0.25">
      <c r="A225" s="1">
        <v>42948</v>
      </c>
      <c r="B225">
        <v>0.19</v>
      </c>
    </row>
    <row r="226" spans="1:2" x14ac:dyDescent="0.25">
      <c r="A226" s="1">
        <v>42979</v>
      </c>
      <c r="B226">
        <v>0.16</v>
      </c>
    </row>
    <row r="227" spans="1:2" x14ac:dyDescent="0.25">
      <c r="A227" s="1">
        <v>43009</v>
      </c>
      <c r="B227">
        <v>0.42</v>
      </c>
    </row>
    <row r="228" spans="1:2" x14ac:dyDescent="0.25">
      <c r="A228" s="1">
        <v>43040</v>
      </c>
      <c r="B228">
        <v>0.28000000000000003</v>
      </c>
    </row>
    <row r="229" spans="1:2" x14ac:dyDescent="0.25">
      <c r="A229" s="1">
        <v>43070</v>
      </c>
      <c r="B229">
        <v>0.44</v>
      </c>
    </row>
    <row r="230" spans="1:2" x14ac:dyDescent="0.25">
      <c r="A230" s="1">
        <v>43101</v>
      </c>
      <c r="B230">
        <v>0.28999999999999998</v>
      </c>
    </row>
    <row r="231" spans="1:2" x14ac:dyDescent="0.25">
      <c r="A231" s="1">
        <v>43132</v>
      </c>
      <c r="B231">
        <v>0.32</v>
      </c>
    </row>
    <row r="232" spans="1:2" x14ac:dyDescent="0.25">
      <c r="A232" s="1">
        <v>43160</v>
      </c>
      <c r="B232">
        <v>0.09</v>
      </c>
    </row>
    <row r="233" spans="1:2" x14ac:dyDescent="0.25">
      <c r="A233" s="1">
        <v>43191</v>
      </c>
      <c r="B233">
        <v>0.22</v>
      </c>
    </row>
    <row r="234" spans="1:2" x14ac:dyDescent="0.25">
      <c r="A234" s="1">
        <v>43221</v>
      </c>
      <c r="B234">
        <v>0.4</v>
      </c>
    </row>
    <row r="235" spans="1:2" x14ac:dyDescent="0.25">
      <c r="A235" s="1">
        <v>43252</v>
      </c>
      <c r="B235">
        <v>1.26</v>
      </c>
    </row>
    <row r="236" spans="1:2" x14ac:dyDescent="0.25">
      <c r="A236" s="1">
        <v>43282</v>
      </c>
      <c r="B236">
        <v>0.33</v>
      </c>
    </row>
    <row r="237" spans="1:2" x14ac:dyDescent="0.25">
      <c r="A237" s="1">
        <v>43313</v>
      </c>
      <c r="B237">
        <v>-0.09</v>
      </c>
    </row>
    <row r="238" spans="1:2" x14ac:dyDescent="0.25">
      <c r="A238" s="1">
        <v>43344</v>
      </c>
      <c r="B238">
        <v>0.48</v>
      </c>
    </row>
    <row r="239" spans="1:2" x14ac:dyDescent="0.25">
      <c r="A239" s="1">
        <v>43374</v>
      </c>
      <c r="B239">
        <v>0.45</v>
      </c>
    </row>
    <row r="240" spans="1:2" x14ac:dyDescent="0.25">
      <c r="A240" s="1">
        <v>43405</v>
      </c>
      <c r="B240">
        <v>-0.21</v>
      </c>
    </row>
    <row r="241" spans="1:2" x14ac:dyDescent="0.25">
      <c r="A241" s="1">
        <v>43435</v>
      </c>
      <c r="B241">
        <v>0.15</v>
      </c>
    </row>
    <row r="242" spans="1:2" x14ac:dyDescent="0.25">
      <c r="A242" s="1">
        <v>43466</v>
      </c>
      <c r="B242">
        <v>0.32</v>
      </c>
    </row>
    <row r="243" spans="1:2" x14ac:dyDescent="0.25">
      <c r="A243" s="1">
        <v>43497</v>
      </c>
      <c r="B243">
        <v>0.43</v>
      </c>
    </row>
    <row r="244" spans="1:2" x14ac:dyDescent="0.25">
      <c r="A244" s="1">
        <v>43525</v>
      </c>
      <c r="B244">
        <v>0.75</v>
      </c>
    </row>
    <row r="245" spans="1:2" x14ac:dyDescent="0.25">
      <c r="A245" s="1">
        <v>43556</v>
      </c>
      <c r="B245">
        <v>0.56999999999999995</v>
      </c>
    </row>
    <row r="246" spans="1:2" x14ac:dyDescent="0.25">
      <c r="A246" s="1">
        <v>43586</v>
      </c>
      <c r="B246">
        <v>0.13</v>
      </c>
    </row>
    <row r="247" spans="1:2" x14ac:dyDescent="0.25">
      <c r="A247" s="1">
        <v>43617</v>
      </c>
      <c r="B247">
        <v>0.01</v>
      </c>
    </row>
    <row r="248" spans="1:2" x14ac:dyDescent="0.25">
      <c r="A248" s="1">
        <v>43647</v>
      </c>
      <c r="B248">
        <v>0.19</v>
      </c>
    </row>
    <row r="249" spans="1:2" x14ac:dyDescent="0.25">
      <c r="A249" s="1">
        <v>43678</v>
      </c>
      <c r="B249">
        <v>0.11</v>
      </c>
    </row>
    <row r="250" spans="1:2" x14ac:dyDescent="0.25">
      <c r="A250" s="1">
        <v>43709</v>
      </c>
      <c r="B250">
        <v>-0.04</v>
      </c>
    </row>
    <row r="251" spans="1:2" x14ac:dyDescent="0.25">
      <c r="A251" s="1">
        <v>43739</v>
      </c>
      <c r="B251">
        <v>0.1</v>
      </c>
    </row>
    <row r="252" spans="1:2" x14ac:dyDescent="0.25">
      <c r="A252" s="1">
        <v>43770</v>
      </c>
      <c r="B252">
        <v>0.51</v>
      </c>
    </row>
    <row r="253" spans="1:2" x14ac:dyDescent="0.25">
      <c r="A253" s="1">
        <v>43800</v>
      </c>
      <c r="B253">
        <v>1.1499999999999999</v>
      </c>
    </row>
    <row r="254" spans="1:2" x14ac:dyDescent="0.25">
      <c r="A254" s="1">
        <v>43831</v>
      </c>
      <c r="B254">
        <v>0.21</v>
      </c>
    </row>
    <row r="255" spans="1:2" x14ac:dyDescent="0.25">
      <c r="A255" s="1">
        <v>43862</v>
      </c>
      <c r="B255">
        <v>0.25</v>
      </c>
    </row>
    <row r="256" spans="1:2" x14ac:dyDescent="0.25">
      <c r="A256" s="1">
        <v>43891</v>
      </c>
      <c r="B256">
        <v>7.0000000000000007E-2</v>
      </c>
    </row>
    <row r="257" spans="1:2" x14ac:dyDescent="0.25">
      <c r="A257" s="1">
        <v>43922</v>
      </c>
      <c r="B257">
        <v>-0.31</v>
      </c>
    </row>
    <row r="258" spans="1:2" x14ac:dyDescent="0.25">
      <c r="A258" s="1">
        <v>43952</v>
      </c>
      <c r="B258">
        <v>-0.38</v>
      </c>
    </row>
    <row r="259" spans="1:2" x14ac:dyDescent="0.25">
      <c r="A259" s="1">
        <v>43983</v>
      </c>
      <c r="B259">
        <v>0.26</v>
      </c>
    </row>
    <row r="260" spans="1:2" x14ac:dyDescent="0.25">
      <c r="A260" s="1">
        <v>44013</v>
      </c>
      <c r="B260">
        <v>0.36</v>
      </c>
    </row>
    <row r="261" spans="1:2" x14ac:dyDescent="0.25">
      <c r="A261" s="1">
        <v>44044</v>
      </c>
      <c r="B261">
        <v>0.24</v>
      </c>
    </row>
    <row r="262" spans="1:2" x14ac:dyDescent="0.25">
      <c r="A262" s="1">
        <v>44075</v>
      </c>
      <c r="B262">
        <v>0.64</v>
      </c>
    </row>
    <row r="263" spans="1:2" x14ac:dyDescent="0.25">
      <c r="A263" s="1">
        <v>44105</v>
      </c>
      <c r="B263">
        <v>0.86</v>
      </c>
    </row>
    <row r="264" spans="1:2" x14ac:dyDescent="0.25">
      <c r="A264" s="1">
        <v>44136</v>
      </c>
      <c r="B264">
        <v>0.89</v>
      </c>
    </row>
    <row r="265" spans="1:2" x14ac:dyDescent="0.25">
      <c r="A265" s="1">
        <v>44166</v>
      </c>
      <c r="B265">
        <v>1.35</v>
      </c>
    </row>
    <row r="266" spans="1:2" x14ac:dyDescent="0.25">
      <c r="A266" s="1">
        <v>44197</v>
      </c>
      <c r="B266">
        <v>0.25</v>
      </c>
    </row>
    <row r="267" spans="1:2" x14ac:dyDescent="0.25">
      <c r="A267" s="1">
        <v>44228</v>
      </c>
      <c r="B267">
        <v>0.86</v>
      </c>
    </row>
    <row r="268" spans="1:2" x14ac:dyDescent="0.25">
      <c r="A268" s="1">
        <v>44256</v>
      </c>
      <c r="B268">
        <v>0.93</v>
      </c>
    </row>
    <row r="269" spans="1:2" x14ac:dyDescent="0.25">
      <c r="A269" s="1">
        <v>44287</v>
      </c>
      <c r="B269">
        <v>0.31</v>
      </c>
    </row>
    <row r="270" spans="1:2" x14ac:dyDescent="0.25">
      <c r="A270" s="1">
        <v>44317</v>
      </c>
      <c r="B270">
        <v>0.83</v>
      </c>
    </row>
    <row r="271" spans="1:2" x14ac:dyDescent="0.25">
      <c r="A271" s="1">
        <v>44348</v>
      </c>
      <c r="B271">
        <v>0.53</v>
      </c>
    </row>
    <row r="272" spans="1:2" x14ac:dyDescent="0.25">
      <c r="A272" s="1">
        <v>44378</v>
      </c>
      <c r="B272">
        <v>0.96</v>
      </c>
    </row>
    <row r="273" spans="1:2" x14ac:dyDescent="0.25">
      <c r="A273" s="1">
        <v>44409</v>
      </c>
      <c r="B273">
        <v>0.87</v>
      </c>
    </row>
    <row r="274" spans="1:2" x14ac:dyDescent="0.25">
      <c r="A274" s="1">
        <v>44440</v>
      </c>
      <c r="B274">
        <v>1.1599999999999999</v>
      </c>
    </row>
    <row r="275" spans="1:2" x14ac:dyDescent="0.25">
      <c r="A275" s="1">
        <v>44470</v>
      </c>
      <c r="B275">
        <v>1.25</v>
      </c>
    </row>
    <row r="276" spans="1:2" x14ac:dyDescent="0.25">
      <c r="A276" s="1">
        <v>44501</v>
      </c>
      <c r="B276">
        <v>0.95</v>
      </c>
    </row>
    <row r="277" spans="1:2" x14ac:dyDescent="0.25">
      <c r="A277" s="1">
        <v>44531</v>
      </c>
      <c r="B277">
        <v>0.73</v>
      </c>
    </row>
    <row r="278" spans="1:2" x14ac:dyDescent="0.25">
      <c r="A278" s="1">
        <v>44562</v>
      </c>
      <c r="B278">
        <v>0.54</v>
      </c>
    </row>
    <row r="279" spans="1:2" x14ac:dyDescent="0.25">
      <c r="A279" s="1">
        <v>44593</v>
      </c>
      <c r="B279">
        <v>1.01</v>
      </c>
    </row>
    <row r="280" spans="1:2" x14ac:dyDescent="0.25">
      <c r="A280" s="1">
        <v>44621</v>
      </c>
      <c r="B280">
        <v>1.62</v>
      </c>
    </row>
    <row r="281" spans="1:2" x14ac:dyDescent="0.25">
      <c r="A281" s="1">
        <v>44652</v>
      </c>
      <c r="B281">
        <v>1.06</v>
      </c>
    </row>
    <row r="282" spans="1:2" x14ac:dyDescent="0.25">
      <c r="A282" s="1">
        <v>44682</v>
      </c>
      <c r="B282">
        <v>0.47</v>
      </c>
    </row>
    <row r="283" spans="1:2" x14ac:dyDescent="0.25">
      <c r="A283" s="1">
        <v>44713</v>
      </c>
      <c r="B283">
        <v>0.67</v>
      </c>
    </row>
    <row r="284" spans="1:2" x14ac:dyDescent="0.25">
      <c r="A284" s="1">
        <v>44743</v>
      </c>
      <c r="B284">
        <v>-0.68</v>
      </c>
    </row>
    <row r="285" spans="1:2" x14ac:dyDescent="0.25">
      <c r="A285" s="1">
        <v>44774</v>
      </c>
      <c r="B285">
        <v>-0.36</v>
      </c>
    </row>
    <row r="286" spans="1:2" x14ac:dyDescent="0.25">
      <c r="A286" s="1">
        <v>44805</v>
      </c>
      <c r="B286">
        <v>-0.28999999999999998</v>
      </c>
    </row>
    <row r="287" spans="1:2" x14ac:dyDescent="0.25">
      <c r="A287" s="1">
        <v>44835</v>
      </c>
      <c r="B287">
        <v>0.59</v>
      </c>
    </row>
    <row r="288" spans="1:2" x14ac:dyDescent="0.25">
      <c r="A288" s="1">
        <v>44866</v>
      </c>
      <c r="B288">
        <v>0.41</v>
      </c>
    </row>
    <row r="289" spans="1:2" x14ac:dyDescent="0.25">
      <c r="A289" s="1">
        <v>44896</v>
      </c>
      <c r="B289">
        <v>0.62</v>
      </c>
    </row>
    <row r="290" spans="1:2" x14ac:dyDescent="0.25">
      <c r="A290" s="1">
        <v>44927</v>
      </c>
      <c r="B290">
        <v>0.53</v>
      </c>
    </row>
    <row r="291" spans="1:2" x14ac:dyDescent="0.25">
      <c r="A291" s="1">
        <v>44958</v>
      </c>
      <c r="B291">
        <v>0.84</v>
      </c>
    </row>
    <row r="292" spans="1:2" x14ac:dyDescent="0.25">
      <c r="A292" s="1">
        <v>44986</v>
      </c>
      <c r="B292">
        <v>0.71</v>
      </c>
    </row>
    <row r="293" spans="1:2" x14ac:dyDescent="0.25">
      <c r="A293" s="1">
        <v>45017</v>
      </c>
      <c r="B293">
        <v>0.61</v>
      </c>
    </row>
    <row r="294" spans="1:2" x14ac:dyDescent="0.25">
      <c r="A294" s="1">
        <v>45047</v>
      </c>
      <c r="B294">
        <v>0.23</v>
      </c>
    </row>
    <row r="295" spans="1:2" x14ac:dyDescent="0.25">
      <c r="A295" s="1">
        <v>45078</v>
      </c>
      <c r="B295">
        <v>-0.08</v>
      </c>
    </row>
    <row r="296" spans="1:2" x14ac:dyDescent="0.25">
      <c r="A296" s="1">
        <v>45108</v>
      </c>
      <c r="B296">
        <v>0.12</v>
      </c>
    </row>
    <row r="297" spans="1:2" x14ac:dyDescent="0.25">
      <c r="A297" s="1">
        <v>45139</v>
      </c>
      <c r="B297">
        <v>0.23</v>
      </c>
    </row>
    <row r="298" spans="1:2" x14ac:dyDescent="0.25">
      <c r="A298" s="1">
        <v>45170</v>
      </c>
      <c r="B298">
        <v>0.26</v>
      </c>
    </row>
    <row r="299" spans="1:2" x14ac:dyDescent="0.25">
      <c r="A299" s="1">
        <v>45200</v>
      </c>
      <c r="B299">
        <v>0.24</v>
      </c>
    </row>
    <row r="300" spans="1:2" x14ac:dyDescent="0.25">
      <c r="A300" s="1">
        <v>45231</v>
      </c>
      <c r="B300">
        <v>0.28000000000000003</v>
      </c>
    </row>
    <row r="301" spans="1:2" x14ac:dyDescent="0.25">
      <c r="A301" s="1">
        <v>45261</v>
      </c>
      <c r="B301">
        <v>0.56000000000000005</v>
      </c>
    </row>
    <row r="302" spans="1:2" x14ac:dyDescent="0.25">
      <c r="A302" s="1">
        <v>45292</v>
      </c>
      <c r="B302">
        <v>0.42</v>
      </c>
    </row>
    <row r="303" spans="1:2" x14ac:dyDescent="0.25">
      <c r="A303" s="1">
        <v>45323</v>
      </c>
      <c r="B303">
        <v>0.83</v>
      </c>
    </row>
    <row r="304" spans="1:2" x14ac:dyDescent="0.25">
      <c r="A304" s="1">
        <v>45352</v>
      </c>
      <c r="B304">
        <v>0.16</v>
      </c>
    </row>
    <row r="305" spans="1:2" x14ac:dyDescent="0.25">
      <c r="A305" s="1">
        <v>45383</v>
      </c>
      <c r="B305">
        <v>0.38</v>
      </c>
    </row>
    <row r="306" spans="1:2" x14ac:dyDescent="0.25">
      <c r="A306" s="1">
        <v>45413</v>
      </c>
      <c r="B306">
        <v>0.46</v>
      </c>
    </row>
    <row r="307" spans="1:2" x14ac:dyDescent="0.25">
      <c r="A307" s="1">
        <v>45444</v>
      </c>
      <c r="B307">
        <v>0.21</v>
      </c>
    </row>
    <row r="308" spans="1:2" x14ac:dyDescent="0.25">
      <c r="A308" s="1">
        <v>45474</v>
      </c>
      <c r="B308">
        <v>0.38</v>
      </c>
    </row>
    <row r="309" spans="1:2" x14ac:dyDescent="0.25">
      <c r="A309" s="1">
        <v>45505</v>
      </c>
      <c r="B309">
        <v>-0.02</v>
      </c>
    </row>
    <row r="310" spans="1:2" x14ac:dyDescent="0.25">
      <c r="A310" s="1">
        <v>45536</v>
      </c>
      <c r="B310">
        <v>0.44</v>
      </c>
    </row>
    <row r="311" spans="1:2" x14ac:dyDescent="0.25">
      <c r="A311" s="1">
        <v>45566</v>
      </c>
      <c r="B311">
        <v>0.56000000000000005</v>
      </c>
    </row>
    <row r="312" spans="1:2" x14ac:dyDescent="0.25">
      <c r="A312" s="1">
        <v>45597</v>
      </c>
      <c r="B312">
        <v>0.39</v>
      </c>
    </row>
    <row r="313" spans="1:2" x14ac:dyDescent="0.25">
      <c r="A313" s="1">
        <v>45627</v>
      </c>
      <c r="B313">
        <v>0.52</v>
      </c>
    </row>
    <row r="314" spans="1:2" x14ac:dyDescent="0.25">
      <c r="A314" s="1">
        <v>45658</v>
      </c>
      <c r="B314">
        <v>0.16</v>
      </c>
    </row>
    <row r="315" spans="1:2" x14ac:dyDescent="0.25">
      <c r="A315" s="1">
        <v>45689</v>
      </c>
      <c r="B315">
        <v>1.31</v>
      </c>
    </row>
    <row r="316" spans="1:2" x14ac:dyDescent="0.25">
      <c r="A316" s="1">
        <v>45717</v>
      </c>
      <c r="B316">
        <v>0.56000000000000005</v>
      </c>
    </row>
    <row r="317" spans="1:2" x14ac:dyDescent="0.25">
      <c r="A317" s="1">
        <v>45748</v>
      </c>
      <c r="B317">
        <v>0.43</v>
      </c>
    </row>
    <row r="318" spans="1:2" x14ac:dyDescent="0.25">
      <c r="A318" s="1">
        <v>45778</v>
      </c>
      <c r="B318">
        <v>0.26</v>
      </c>
    </row>
    <row r="319" spans="1:2" x14ac:dyDescent="0.25">
      <c r="A319" s="1">
        <v>45809</v>
      </c>
      <c r="B319">
        <v>0.24</v>
      </c>
    </row>
    <row r="320" spans="1:2" x14ac:dyDescent="0.25">
      <c r="A320" s="1">
        <v>45839</v>
      </c>
      <c r="B320">
        <v>0.26</v>
      </c>
    </row>
    <row r="321" spans="1:2" x14ac:dyDescent="0.25">
      <c r="A321" s="1">
        <v>45870</v>
      </c>
      <c r="B321">
        <v>-0.11</v>
      </c>
    </row>
    <row r="322" spans="1:2" x14ac:dyDescent="0.25">
      <c r="A322" s="1">
        <v>45901</v>
      </c>
      <c r="B322">
        <v>0.48</v>
      </c>
    </row>
    <row r="323" spans="1:2" x14ac:dyDescent="0.25">
      <c r="A323" s="1">
        <v>45931</v>
      </c>
      <c r="B323">
        <v>0.09</v>
      </c>
    </row>
    <row r="324" spans="1:2" x14ac:dyDescent="0.25">
      <c r="A324" s="1">
        <v>45962</v>
      </c>
      <c r="B324">
        <v>0.18</v>
      </c>
    </row>
    <row r="325" spans="1:2" x14ac:dyDescent="0.25">
      <c r="A325" s="1">
        <v>45992</v>
      </c>
      <c r="B325">
        <v>0.33</v>
      </c>
    </row>
    <row r="326" spans="1:2" x14ac:dyDescent="0.25">
      <c r="A326" s="1">
        <v>46023</v>
      </c>
      <c r="B326">
        <v>0.33</v>
      </c>
    </row>
    <row r="327" spans="1:2" x14ac:dyDescent="0.25">
      <c r="A327" s="1">
        <v>46054</v>
      </c>
      <c r="B327">
        <v>0.7</v>
      </c>
    </row>
    <row r="328" spans="1:2" x14ac:dyDescent="0.25">
      <c r="A328" t="s">
        <v>2</v>
      </c>
      <c r="B328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475D-ACAD-48B9-9F37-3CBA1EBB5F4C}">
  <dimension ref="A1:O327"/>
  <sheetViews>
    <sheetView tabSelected="1" workbookViewId="0">
      <selection activeCell="I7" sqref="I7"/>
    </sheetView>
  </sheetViews>
  <sheetFormatPr defaultRowHeight="15" x14ac:dyDescent="0.25"/>
  <cols>
    <col min="1" max="1" width="14.42578125" customWidth="1"/>
    <col min="2" max="2" width="11.5703125" customWidth="1"/>
    <col min="4" max="4" width="16.28515625" customWidth="1"/>
    <col min="5" max="5" width="12.28515625" bestFit="1" customWidth="1"/>
    <col min="7" max="7" width="14.42578125" customWidth="1"/>
    <col min="9" max="9" width="12.85546875" bestFit="1" customWidth="1"/>
    <col min="10" max="10" width="13.7109375" bestFit="1" customWidth="1"/>
    <col min="11" max="11" width="12.7109375" bestFit="1" customWidth="1"/>
    <col min="13" max="13" width="12.140625" customWidth="1"/>
    <col min="14" max="14" width="12" customWidth="1"/>
    <col min="15" max="15" width="11" customWidth="1"/>
  </cols>
  <sheetData>
    <row r="1" spans="1:15" x14ac:dyDescent="0.25">
      <c r="A1" t="s">
        <v>0</v>
      </c>
      <c r="B1" t="s">
        <v>4</v>
      </c>
      <c r="D1" t="s">
        <v>5</v>
      </c>
      <c r="G1" t="s">
        <v>0</v>
      </c>
      <c r="H1" t="s">
        <v>10</v>
      </c>
      <c r="I1" t="s">
        <v>18</v>
      </c>
      <c r="J1" t="s">
        <v>11</v>
      </c>
      <c r="K1" t="s">
        <v>15</v>
      </c>
      <c r="M1" t="s">
        <v>12</v>
      </c>
    </row>
    <row r="2" spans="1:15" x14ac:dyDescent="0.25">
      <c r="A2" s="1">
        <v>36161</v>
      </c>
      <c r="B2">
        <v>0.7</v>
      </c>
      <c r="G2" s="1">
        <v>36161</v>
      </c>
      <c r="M2" s="2" t="s">
        <v>13</v>
      </c>
      <c r="N2" s="3" t="s">
        <v>14</v>
      </c>
      <c r="O2" s="6" t="s">
        <v>14</v>
      </c>
    </row>
    <row r="3" spans="1:15" x14ac:dyDescent="0.25">
      <c r="A3" s="1">
        <v>36192</v>
      </c>
      <c r="B3">
        <v>1.05</v>
      </c>
      <c r="D3" s="7" t="s">
        <v>7</v>
      </c>
      <c r="E3" s="7"/>
      <c r="G3" s="1">
        <v>36192</v>
      </c>
      <c r="H3">
        <f>$E$4+$E$5*B2</f>
        <v>0.61959825633639931</v>
      </c>
      <c r="I3">
        <f>H3-B3</f>
        <v>-0.43040174366360073</v>
      </c>
      <c r="J3">
        <f>_xlfn.NORM.DIST(I3,$E$7,$E$8,0)</f>
        <v>0.50103423540754666</v>
      </c>
      <c r="K3">
        <f>LN(J3)</f>
        <v>-0.69108084608514397</v>
      </c>
      <c r="M3" s="4">
        <f>PRODUCT(J3:J327)</f>
        <v>9.4229199616398444E-39</v>
      </c>
      <c r="N3" s="3">
        <f>LN(M3)</f>
        <v>-87.557673611515369</v>
      </c>
      <c r="O3" s="6">
        <f>SUM(K3:K327)</f>
        <v>-87.557673611515384</v>
      </c>
    </row>
    <row r="4" spans="1:15" x14ac:dyDescent="0.25">
      <c r="A4" s="1">
        <v>36220</v>
      </c>
      <c r="B4">
        <v>1.1000000000000001</v>
      </c>
      <c r="D4" s="8" t="s">
        <v>6</v>
      </c>
      <c r="E4" s="8">
        <v>0.20522291536894394</v>
      </c>
      <c r="G4" s="1">
        <v>36220</v>
      </c>
      <c r="H4">
        <f t="shared" ref="H4:H67" si="0">$E$4+$E$5*B3</f>
        <v>0.82678592682012697</v>
      </c>
      <c r="I4">
        <f t="shared" ref="I4:I67" si="1">H4-B4</f>
        <v>-0.27321407317987312</v>
      </c>
      <c r="J4">
        <f t="shared" ref="J4:J67" si="2">_xlfn.NORM.DIST(I4,$E$7,$E$8,0)</f>
        <v>0.8678636259640905</v>
      </c>
      <c r="K4">
        <f t="shared" ref="K4:K67" si="3">LN(J4)</f>
        <v>-0.14172068960991466</v>
      </c>
    </row>
    <row r="5" spans="1:15" x14ac:dyDescent="0.25">
      <c r="A5" s="1">
        <v>36251</v>
      </c>
      <c r="B5">
        <v>0.56000000000000005</v>
      </c>
      <c r="D5" s="8" t="s">
        <v>8</v>
      </c>
      <c r="E5" s="8">
        <v>0.59196477281065052</v>
      </c>
      <c r="G5" s="1">
        <v>36251</v>
      </c>
      <c r="H5">
        <f t="shared" si="0"/>
        <v>0.85638416546065965</v>
      </c>
      <c r="I5">
        <f t="shared" si="1"/>
        <v>0.2963841654606596</v>
      </c>
      <c r="J5">
        <f t="shared" si="2"/>
        <v>0.8127964522266945</v>
      </c>
      <c r="K5">
        <f t="shared" si="3"/>
        <v>-0.2072745670460204</v>
      </c>
    </row>
    <row r="6" spans="1:15" x14ac:dyDescent="0.25">
      <c r="A6" s="1">
        <v>36281</v>
      </c>
      <c r="B6">
        <v>0.3</v>
      </c>
      <c r="G6" s="1">
        <v>36281</v>
      </c>
      <c r="H6">
        <f t="shared" si="0"/>
        <v>0.5367231881429082</v>
      </c>
      <c r="I6">
        <f t="shared" si="1"/>
        <v>0.23672318814290821</v>
      </c>
      <c r="J6">
        <f t="shared" si="2"/>
        <v>0.95190274395181318</v>
      </c>
      <c r="K6">
        <f t="shared" si="3"/>
        <v>-4.929240912391275E-2</v>
      </c>
    </row>
    <row r="7" spans="1:15" x14ac:dyDescent="0.25">
      <c r="A7" s="1">
        <v>36312</v>
      </c>
      <c r="B7">
        <v>0.19</v>
      </c>
      <c r="D7" t="s">
        <v>17</v>
      </c>
      <c r="E7" s="5">
        <f>AVERAGE(I3:I327)</f>
        <v>2.8487802196023402E-8</v>
      </c>
      <c r="G7" s="1">
        <v>36312</v>
      </c>
      <c r="H7">
        <f t="shared" si="0"/>
        <v>0.38281234721213908</v>
      </c>
      <c r="I7">
        <f t="shared" si="1"/>
        <v>0.19281234721213908</v>
      </c>
      <c r="J7">
        <f t="shared" si="2"/>
        <v>1.045393539722645</v>
      </c>
      <c r="K7">
        <f t="shared" si="3"/>
        <v>4.439340755943897E-2</v>
      </c>
    </row>
    <row r="8" spans="1:15" x14ac:dyDescent="0.25">
      <c r="A8" s="1">
        <v>36342</v>
      </c>
      <c r="B8">
        <v>1.0900000000000001</v>
      </c>
      <c r="D8" t="s">
        <v>9</v>
      </c>
      <c r="E8">
        <f>_xlfn.STDEV.S(I3:I327)</f>
        <v>0.3172732639129659</v>
      </c>
      <c r="G8" s="1">
        <v>36342</v>
      </c>
      <c r="H8">
        <f t="shared" si="0"/>
        <v>0.31769622220296756</v>
      </c>
      <c r="I8">
        <f t="shared" si="1"/>
        <v>-0.77230377779703252</v>
      </c>
      <c r="J8">
        <f t="shared" si="2"/>
        <v>6.4985556921927645E-2</v>
      </c>
      <c r="K8">
        <f t="shared" si="3"/>
        <v>-2.7335902349779575</v>
      </c>
    </row>
    <row r="9" spans="1:15" x14ac:dyDescent="0.25">
      <c r="A9" s="1">
        <v>36373</v>
      </c>
      <c r="B9">
        <v>0.56000000000000005</v>
      </c>
      <c r="G9" s="1">
        <v>36373</v>
      </c>
      <c r="H9">
        <f t="shared" si="0"/>
        <v>0.85046451773255316</v>
      </c>
      <c r="I9">
        <f t="shared" si="1"/>
        <v>0.29046451773255311</v>
      </c>
      <c r="J9">
        <f t="shared" si="2"/>
        <v>0.82694328293479269</v>
      </c>
      <c r="K9">
        <f t="shared" si="3"/>
        <v>-0.19001916800944041</v>
      </c>
    </row>
    <row r="10" spans="1:15" x14ac:dyDescent="0.25">
      <c r="A10" s="1">
        <v>36404</v>
      </c>
      <c r="B10">
        <v>0.31</v>
      </c>
      <c r="D10" t="s">
        <v>16</v>
      </c>
      <c r="E10">
        <f>E4/(1-E5)</f>
        <v>0.5029539159708627</v>
      </c>
      <c r="G10" s="1">
        <v>36404</v>
      </c>
      <c r="H10">
        <f t="shared" si="0"/>
        <v>0.5367231881429082</v>
      </c>
      <c r="I10">
        <f t="shared" si="1"/>
        <v>0.22672318814290821</v>
      </c>
      <c r="J10">
        <f t="shared" si="2"/>
        <v>0.97406956185434546</v>
      </c>
      <c r="K10">
        <f t="shared" si="3"/>
        <v>-2.627255914817108E-2</v>
      </c>
    </row>
    <row r="11" spans="1:15" x14ac:dyDescent="0.25">
      <c r="A11" s="1">
        <v>36434</v>
      </c>
      <c r="B11">
        <v>1.19</v>
      </c>
      <c r="G11" s="1">
        <v>36434</v>
      </c>
      <c r="H11">
        <f t="shared" si="0"/>
        <v>0.38873199494024557</v>
      </c>
      <c r="I11">
        <f t="shared" si="1"/>
        <v>-0.80126800505975437</v>
      </c>
      <c r="J11">
        <f t="shared" si="2"/>
        <v>5.1820094451404217E-2</v>
      </c>
      <c r="K11">
        <f t="shared" si="3"/>
        <v>-2.959977281167391</v>
      </c>
    </row>
    <row r="12" spans="1:15" x14ac:dyDescent="0.25">
      <c r="A12" s="1">
        <v>36465</v>
      </c>
      <c r="B12">
        <v>0.95</v>
      </c>
      <c r="G12" s="1">
        <v>36465</v>
      </c>
      <c r="H12">
        <f t="shared" si="0"/>
        <v>0.90966099501361808</v>
      </c>
      <c r="I12">
        <f t="shared" si="1"/>
        <v>-4.0339004986381877E-2</v>
      </c>
      <c r="J12">
        <f t="shared" si="2"/>
        <v>1.2472868311617091</v>
      </c>
      <c r="K12">
        <f t="shared" si="3"/>
        <v>0.22097065721814754</v>
      </c>
    </row>
    <row r="13" spans="1:15" x14ac:dyDescent="0.25">
      <c r="A13" s="1">
        <v>36495</v>
      </c>
      <c r="B13">
        <v>0.6</v>
      </c>
      <c r="G13" s="1">
        <v>36495</v>
      </c>
      <c r="H13">
        <f t="shared" si="0"/>
        <v>0.76758944953906183</v>
      </c>
      <c r="I13">
        <f t="shared" si="1"/>
        <v>0.16758944953906185</v>
      </c>
      <c r="J13">
        <f t="shared" si="2"/>
        <v>1.093677893524803</v>
      </c>
      <c r="K13">
        <f t="shared" si="3"/>
        <v>8.9546230596298071E-2</v>
      </c>
    </row>
    <row r="14" spans="1:15" x14ac:dyDescent="0.25">
      <c r="A14" s="1">
        <v>36526</v>
      </c>
      <c r="B14">
        <v>0.62</v>
      </c>
      <c r="G14" s="1">
        <v>36526</v>
      </c>
      <c r="H14">
        <f t="shared" si="0"/>
        <v>0.56040177905533417</v>
      </c>
      <c r="I14">
        <f t="shared" si="1"/>
        <v>-5.9598220944665825E-2</v>
      </c>
      <c r="J14">
        <f t="shared" si="2"/>
        <v>1.2354192775678541</v>
      </c>
      <c r="K14">
        <f t="shared" si="3"/>
        <v>0.21141040847057077</v>
      </c>
    </row>
    <row r="15" spans="1:15" x14ac:dyDescent="0.25">
      <c r="A15" s="1">
        <v>36557</v>
      </c>
      <c r="B15">
        <v>0.13</v>
      </c>
      <c r="G15" s="1">
        <v>36557</v>
      </c>
      <c r="H15">
        <f t="shared" si="0"/>
        <v>0.57224107451154727</v>
      </c>
      <c r="I15">
        <f t="shared" si="1"/>
        <v>0.44224107451154726</v>
      </c>
      <c r="J15">
        <f t="shared" si="2"/>
        <v>0.47597105033551884</v>
      </c>
      <c r="K15">
        <f t="shared" si="3"/>
        <v>-0.74239824522310405</v>
      </c>
    </row>
    <row r="16" spans="1:15" x14ac:dyDescent="0.25">
      <c r="A16" s="1">
        <v>36586</v>
      </c>
      <c r="B16">
        <v>0.22</v>
      </c>
      <c r="G16" s="1">
        <v>36586</v>
      </c>
      <c r="H16">
        <f t="shared" si="0"/>
        <v>0.2821783358343285</v>
      </c>
      <c r="I16">
        <f t="shared" si="1"/>
        <v>6.2178335834328496E-2</v>
      </c>
      <c r="J16">
        <f t="shared" si="2"/>
        <v>1.2334927655135677</v>
      </c>
      <c r="K16">
        <f t="shared" si="3"/>
        <v>0.20984979196283368</v>
      </c>
    </row>
    <row r="17" spans="1:11" x14ac:dyDescent="0.25">
      <c r="A17" s="1">
        <v>36617</v>
      </c>
      <c r="B17">
        <v>0.42</v>
      </c>
      <c r="G17" s="1">
        <v>36617</v>
      </c>
      <c r="H17">
        <f t="shared" si="0"/>
        <v>0.33545516538728704</v>
      </c>
      <c r="I17">
        <f t="shared" si="1"/>
        <v>-8.4544834612712949E-2</v>
      </c>
      <c r="J17">
        <f t="shared" si="2"/>
        <v>1.2135492060259889</v>
      </c>
      <c r="K17">
        <f t="shared" si="3"/>
        <v>0.19354929420956399</v>
      </c>
    </row>
    <row r="18" spans="1:11" x14ac:dyDescent="0.25">
      <c r="A18" s="1">
        <v>36647</v>
      </c>
      <c r="B18">
        <v>0.01</v>
      </c>
      <c r="G18" s="1">
        <v>36647</v>
      </c>
      <c r="H18">
        <f t="shared" si="0"/>
        <v>0.45384811994941715</v>
      </c>
      <c r="I18">
        <f t="shared" si="1"/>
        <v>0.44384811994941714</v>
      </c>
      <c r="J18">
        <f t="shared" si="2"/>
        <v>0.47261634666029584</v>
      </c>
      <c r="K18">
        <f t="shared" si="3"/>
        <v>-0.74947132604143962</v>
      </c>
    </row>
    <row r="19" spans="1:11" x14ac:dyDescent="0.25">
      <c r="A19" s="1">
        <v>36678</v>
      </c>
      <c r="B19">
        <v>0.23</v>
      </c>
      <c r="G19" s="1">
        <v>36678</v>
      </c>
      <c r="H19">
        <f t="shared" si="0"/>
        <v>0.21114256309705043</v>
      </c>
      <c r="I19">
        <f t="shared" si="1"/>
        <v>-1.8857436902949581E-2</v>
      </c>
      <c r="J19">
        <f t="shared" si="2"/>
        <v>1.2551900441601267</v>
      </c>
      <c r="K19">
        <f t="shared" si="3"/>
        <v>0.22728699072910391</v>
      </c>
    </row>
    <row r="20" spans="1:11" x14ac:dyDescent="0.25">
      <c r="A20" s="1">
        <v>36708</v>
      </c>
      <c r="B20">
        <v>1.61</v>
      </c>
      <c r="G20" s="1">
        <v>36708</v>
      </c>
      <c r="H20">
        <f t="shared" si="0"/>
        <v>0.34137481311539353</v>
      </c>
      <c r="I20">
        <f t="shared" si="1"/>
        <v>-1.2686251868846066</v>
      </c>
      <c r="J20">
        <f t="shared" si="2"/>
        <v>4.2430861059239054E-4</v>
      </c>
      <c r="K20">
        <f t="shared" si="3"/>
        <v>-7.7650495123196963</v>
      </c>
    </row>
    <row r="21" spans="1:11" x14ac:dyDescent="0.25">
      <c r="A21" s="1">
        <v>36739</v>
      </c>
      <c r="B21">
        <v>1.31</v>
      </c>
      <c r="G21" s="1">
        <v>36739</v>
      </c>
      <c r="H21">
        <f t="shared" si="0"/>
        <v>1.1582861995940914</v>
      </c>
      <c r="I21">
        <f t="shared" si="1"/>
        <v>-0.15171380040590865</v>
      </c>
      <c r="J21">
        <f t="shared" si="2"/>
        <v>1.1215650833637056</v>
      </c>
      <c r="K21">
        <f t="shared" si="3"/>
        <v>0.11472510571847906</v>
      </c>
    </row>
    <row r="22" spans="1:11" x14ac:dyDescent="0.25">
      <c r="A22" s="1">
        <v>36770</v>
      </c>
      <c r="B22">
        <v>0.23</v>
      </c>
      <c r="G22" s="1">
        <v>36770</v>
      </c>
      <c r="H22">
        <f t="shared" si="0"/>
        <v>0.9806967677508962</v>
      </c>
      <c r="I22">
        <f t="shared" si="1"/>
        <v>0.75069676775089622</v>
      </c>
      <c r="J22">
        <f t="shared" si="2"/>
        <v>7.6525216566329199E-2</v>
      </c>
      <c r="K22">
        <f t="shared" si="3"/>
        <v>-2.5701349641470967</v>
      </c>
    </row>
    <row r="23" spans="1:11" x14ac:dyDescent="0.25">
      <c r="A23" s="1">
        <v>36800</v>
      </c>
      <c r="B23">
        <v>0.14000000000000001</v>
      </c>
      <c r="G23" s="1">
        <v>36800</v>
      </c>
      <c r="H23">
        <f t="shared" si="0"/>
        <v>0.34137481311539353</v>
      </c>
      <c r="I23">
        <f t="shared" si="1"/>
        <v>0.20137481311539351</v>
      </c>
      <c r="J23">
        <f t="shared" si="2"/>
        <v>1.0280135811813815</v>
      </c>
      <c r="K23">
        <f t="shared" si="3"/>
        <v>2.76283782116407E-2</v>
      </c>
    </row>
    <row r="24" spans="1:11" x14ac:dyDescent="0.25">
      <c r="A24" s="1">
        <v>36831</v>
      </c>
      <c r="B24">
        <v>0.32</v>
      </c>
      <c r="G24" s="1">
        <v>36831</v>
      </c>
      <c r="H24">
        <f t="shared" si="0"/>
        <v>0.28809798356243499</v>
      </c>
      <c r="I24">
        <f t="shared" si="1"/>
        <v>-3.1902016437565017E-2</v>
      </c>
      <c r="J24">
        <f t="shared" si="2"/>
        <v>1.2510686318244288</v>
      </c>
      <c r="K24">
        <f t="shared" si="3"/>
        <v>0.22399809155022002</v>
      </c>
    </row>
    <row r="25" spans="1:11" x14ac:dyDescent="0.25">
      <c r="A25" s="1">
        <v>36861</v>
      </c>
      <c r="B25">
        <v>0.59</v>
      </c>
      <c r="G25" s="1">
        <v>36861</v>
      </c>
      <c r="H25">
        <f t="shared" si="0"/>
        <v>0.39465164266835212</v>
      </c>
      <c r="I25">
        <f t="shared" si="1"/>
        <v>-0.19534835733164785</v>
      </c>
      <c r="J25">
        <f t="shared" si="2"/>
        <v>1.0402944361344313</v>
      </c>
      <c r="K25">
        <f t="shared" si="3"/>
        <v>3.9503784752457895E-2</v>
      </c>
    </row>
    <row r="26" spans="1:11" x14ac:dyDescent="0.25">
      <c r="A26" s="1">
        <v>36892</v>
      </c>
      <c r="B26">
        <v>0.56999999999999995</v>
      </c>
      <c r="G26" s="1">
        <v>36892</v>
      </c>
      <c r="H26">
        <f t="shared" si="0"/>
        <v>0.55448213132722768</v>
      </c>
      <c r="I26">
        <f t="shared" si="1"/>
        <v>-1.5517868672772273E-2</v>
      </c>
      <c r="J26">
        <f t="shared" si="2"/>
        <v>1.2559059797839034</v>
      </c>
      <c r="K26">
        <f t="shared" si="3"/>
        <v>0.22785720838414283</v>
      </c>
    </row>
    <row r="27" spans="1:11" x14ac:dyDescent="0.25">
      <c r="A27" s="1">
        <v>36923</v>
      </c>
      <c r="B27">
        <v>0.46</v>
      </c>
      <c r="G27" s="1">
        <v>36923</v>
      </c>
      <c r="H27">
        <f t="shared" si="0"/>
        <v>0.54264283587101469</v>
      </c>
      <c r="I27">
        <f t="shared" si="1"/>
        <v>8.2642835871014675E-2</v>
      </c>
      <c r="J27">
        <f t="shared" si="2"/>
        <v>1.215467569784028</v>
      </c>
      <c r="K27">
        <f t="shared" si="3"/>
        <v>0.19512883386198196</v>
      </c>
    </row>
    <row r="28" spans="1:11" x14ac:dyDescent="0.25">
      <c r="A28" s="1">
        <v>36951</v>
      </c>
      <c r="B28">
        <v>0.38</v>
      </c>
      <c r="G28" s="1">
        <v>36951</v>
      </c>
      <c r="H28">
        <f t="shared" si="0"/>
        <v>0.47752671086184317</v>
      </c>
      <c r="I28">
        <f t="shared" si="1"/>
        <v>9.7526710861843169E-2</v>
      </c>
      <c r="J28">
        <f t="shared" si="2"/>
        <v>1.1993850340494048</v>
      </c>
      <c r="K28">
        <f t="shared" si="3"/>
        <v>0.1818089538099949</v>
      </c>
    </row>
    <row r="29" spans="1:11" x14ac:dyDescent="0.25">
      <c r="A29" s="1">
        <v>36982</v>
      </c>
      <c r="B29">
        <v>0.57999999999999996</v>
      </c>
      <c r="G29" s="1">
        <v>36982</v>
      </c>
      <c r="H29">
        <f t="shared" si="0"/>
        <v>0.43016952903699113</v>
      </c>
      <c r="I29">
        <f t="shared" si="1"/>
        <v>-0.14983047096300883</v>
      </c>
      <c r="J29">
        <f t="shared" si="2"/>
        <v>1.1247333204750383</v>
      </c>
      <c r="K29">
        <f t="shared" si="3"/>
        <v>0.11754595908932218</v>
      </c>
    </row>
    <row r="30" spans="1:11" x14ac:dyDescent="0.25">
      <c r="A30" s="1">
        <v>37012</v>
      </c>
      <c r="B30">
        <v>0.41</v>
      </c>
      <c r="G30" s="1">
        <v>37012</v>
      </c>
      <c r="H30">
        <f t="shared" si="0"/>
        <v>0.54856248359912119</v>
      </c>
      <c r="I30">
        <f t="shared" si="1"/>
        <v>0.13856248359912121</v>
      </c>
      <c r="J30">
        <f t="shared" si="2"/>
        <v>1.1430351936571559</v>
      </c>
      <c r="K30">
        <f t="shared" si="3"/>
        <v>0.13368717493983903</v>
      </c>
    </row>
    <row r="31" spans="1:11" x14ac:dyDescent="0.25">
      <c r="A31" s="1">
        <v>37043</v>
      </c>
      <c r="B31">
        <v>0.52</v>
      </c>
      <c r="G31" s="1">
        <v>37043</v>
      </c>
      <c r="H31">
        <f t="shared" si="0"/>
        <v>0.4479284722213106</v>
      </c>
      <c r="I31">
        <f t="shared" si="1"/>
        <v>-7.2071527778689415E-2</v>
      </c>
      <c r="J31">
        <f t="shared" si="2"/>
        <v>1.2253820216975033</v>
      </c>
      <c r="K31">
        <f t="shared" si="3"/>
        <v>0.203252649827141</v>
      </c>
    </row>
    <row r="32" spans="1:11" x14ac:dyDescent="0.25">
      <c r="A32" s="1">
        <v>37073</v>
      </c>
      <c r="B32">
        <v>1.33</v>
      </c>
      <c r="G32" s="1">
        <v>37073</v>
      </c>
      <c r="H32">
        <f t="shared" si="0"/>
        <v>0.51304459723048224</v>
      </c>
      <c r="I32">
        <f t="shared" si="1"/>
        <v>-0.81695540276951784</v>
      </c>
      <c r="J32">
        <f t="shared" si="2"/>
        <v>4.5681096521336936E-2</v>
      </c>
      <c r="K32">
        <f t="shared" si="3"/>
        <v>-3.0860707095149325</v>
      </c>
    </row>
    <row r="33" spans="1:11" x14ac:dyDescent="0.25">
      <c r="A33" s="1">
        <v>37104</v>
      </c>
      <c r="B33">
        <v>0.7</v>
      </c>
      <c r="G33" s="1">
        <v>37104</v>
      </c>
      <c r="H33">
        <f t="shared" si="0"/>
        <v>0.99253606320710919</v>
      </c>
      <c r="I33">
        <f t="shared" si="1"/>
        <v>0.29253606320710923</v>
      </c>
      <c r="J33">
        <f t="shared" si="2"/>
        <v>0.82199744121138529</v>
      </c>
      <c r="K33">
        <f t="shared" si="3"/>
        <v>-0.19601799681232857</v>
      </c>
    </row>
    <row r="34" spans="1:11" x14ac:dyDescent="0.25">
      <c r="A34" s="1">
        <v>37135</v>
      </c>
      <c r="B34">
        <v>0.28000000000000003</v>
      </c>
      <c r="G34" s="1">
        <v>37135</v>
      </c>
      <c r="H34">
        <f t="shared" si="0"/>
        <v>0.61959825633639931</v>
      </c>
      <c r="I34">
        <f t="shared" si="1"/>
        <v>0.33959825633639928</v>
      </c>
      <c r="J34">
        <f t="shared" si="2"/>
        <v>0.70907965648566518</v>
      </c>
      <c r="K34">
        <f t="shared" si="3"/>
        <v>-0.34378740828741666</v>
      </c>
    </row>
    <row r="35" spans="1:11" x14ac:dyDescent="0.25">
      <c r="A35" s="1">
        <v>37165</v>
      </c>
      <c r="B35">
        <v>0.83</v>
      </c>
      <c r="G35" s="1">
        <v>37165</v>
      </c>
      <c r="H35">
        <f t="shared" si="0"/>
        <v>0.3709730517559261</v>
      </c>
      <c r="I35">
        <f t="shared" si="1"/>
        <v>-0.45902694824407386</v>
      </c>
      <c r="J35">
        <f t="shared" si="2"/>
        <v>0.44151483768584066</v>
      </c>
      <c r="K35">
        <f t="shared" si="3"/>
        <v>-0.81754365206039215</v>
      </c>
    </row>
    <row r="36" spans="1:11" x14ac:dyDescent="0.25">
      <c r="A36" s="1">
        <v>37196</v>
      </c>
      <c r="B36">
        <v>0.71</v>
      </c>
      <c r="G36" s="1">
        <v>37196</v>
      </c>
      <c r="H36">
        <f t="shared" si="0"/>
        <v>0.69655367680178382</v>
      </c>
      <c r="I36">
        <f t="shared" si="1"/>
        <v>-1.3446323198216148E-2</v>
      </c>
      <c r="J36">
        <f t="shared" si="2"/>
        <v>1.2562803330609646</v>
      </c>
      <c r="K36">
        <f t="shared" si="3"/>
        <v>0.22815523825391648</v>
      </c>
    </row>
    <row r="37" spans="1:11" x14ac:dyDescent="0.25">
      <c r="A37" s="1">
        <v>37226</v>
      </c>
      <c r="B37">
        <v>0.65</v>
      </c>
      <c r="G37" s="1">
        <v>37226</v>
      </c>
      <c r="H37">
        <f t="shared" si="0"/>
        <v>0.6255179040645058</v>
      </c>
      <c r="I37">
        <f t="shared" si="1"/>
        <v>-2.4482095935494219E-2</v>
      </c>
      <c r="J37">
        <f t="shared" si="2"/>
        <v>1.2536711390881514</v>
      </c>
      <c r="K37">
        <f t="shared" si="3"/>
        <v>0.22607615828632774</v>
      </c>
    </row>
    <row r="38" spans="1:11" x14ac:dyDescent="0.25">
      <c r="A38" s="1">
        <v>37257</v>
      </c>
      <c r="B38">
        <v>0.52</v>
      </c>
      <c r="G38" s="1">
        <v>37257</v>
      </c>
      <c r="H38">
        <f t="shared" si="0"/>
        <v>0.59000001769586685</v>
      </c>
      <c r="I38">
        <f t="shared" si="1"/>
        <v>7.0000017695866834E-2</v>
      </c>
      <c r="J38">
        <f t="shared" si="2"/>
        <v>1.2271746825598395</v>
      </c>
      <c r="K38">
        <f t="shared" si="3"/>
        <v>0.20471452117019906</v>
      </c>
    </row>
    <row r="39" spans="1:11" x14ac:dyDescent="0.25">
      <c r="A39" s="1">
        <v>37288</v>
      </c>
      <c r="B39">
        <v>0.36</v>
      </c>
      <c r="G39" s="1">
        <v>37288</v>
      </c>
      <c r="H39">
        <f t="shared" si="0"/>
        <v>0.51304459723048224</v>
      </c>
      <c r="I39">
        <f t="shared" si="1"/>
        <v>0.15304459723048225</v>
      </c>
      <c r="J39">
        <f t="shared" si="2"/>
        <v>1.1193080445831167</v>
      </c>
      <c r="K39">
        <f t="shared" si="3"/>
        <v>0.11271067704272657</v>
      </c>
    </row>
    <row r="40" spans="1:11" x14ac:dyDescent="0.25">
      <c r="A40" s="1">
        <v>37316</v>
      </c>
      <c r="B40">
        <v>0.6</v>
      </c>
      <c r="G40" s="1">
        <v>37316</v>
      </c>
      <c r="H40">
        <f t="shared" si="0"/>
        <v>0.41833023358077814</v>
      </c>
      <c r="I40">
        <f t="shared" si="1"/>
        <v>-0.18166976641922183</v>
      </c>
      <c r="J40">
        <f t="shared" si="2"/>
        <v>1.0672865713203252</v>
      </c>
      <c r="K40">
        <f t="shared" si="3"/>
        <v>6.5119512941947177E-2</v>
      </c>
    </row>
    <row r="41" spans="1:11" x14ac:dyDescent="0.25">
      <c r="A41" s="1">
        <v>37347</v>
      </c>
      <c r="B41">
        <v>0.8</v>
      </c>
      <c r="G41" s="1">
        <v>37347</v>
      </c>
      <c r="H41">
        <f t="shared" si="0"/>
        <v>0.56040177905533417</v>
      </c>
      <c r="I41">
        <f t="shared" si="1"/>
        <v>-0.23959822094466587</v>
      </c>
      <c r="J41">
        <f t="shared" si="2"/>
        <v>0.94544960697624258</v>
      </c>
      <c r="K41">
        <f t="shared" si="3"/>
        <v>-5.6094690055198168E-2</v>
      </c>
    </row>
    <row r="42" spans="1:11" x14ac:dyDescent="0.25">
      <c r="A42" s="1">
        <v>37377</v>
      </c>
      <c r="B42">
        <v>0.21</v>
      </c>
      <c r="G42" s="1">
        <v>37377</v>
      </c>
      <c r="H42">
        <f t="shared" si="0"/>
        <v>0.67879473361746445</v>
      </c>
      <c r="I42">
        <f t="shared" si="1"/>
        <v>0.46879473361746449</v>
      </c>
      <c r="J42">
        <f t="shared" si="2"/>
        <v>0.42208057160591522</v>
      </c>
      <c r="K42">
        <f t="shared" si="3"/>
        <v>-0.8625590551944492</v>
      </c>
    </row>
    <row r="43" spans="1:11" x14ac:dyDescent="0.25">
      <c r="A43" s="1">
        <v>37408</v>
      </c>
      <c r="B43">
        <v>0.42</v>
      </c>
      <c r="G43" s="1">
        <v>37408</v>
      </c>
      <c r="H43">
        <f t="shared" si="0"/>
        <v>0.32953551765918054</v>
      </c>
      <c r="I43">
        <f t="shared" si="1"/>
        <v>-9.0464482340819441E-2</v>
      </c>
      <c r="J43">
        <f t="shared" si="2"/>
        <v>1.207320459178467</v>
      </c>
      <c r="K43">
        <f t="shared" si="3"/>
        <v>0.18840340743846756</v>
      </c>
    </row>
    <row r="44" spans="1:11" x14ac:dyDescent="0.25">
      <c r="A44" s="1">
        <v>37438</v>
      </c>
      <c r="B44">
        <v>1.19</v>
      </c>
      <c r="G44" s="1">
        <v>37438</v>
      </c>
      <c r="H44">
        <f t="shared" si="0"/>
        <v>0.45384811994941715</v>
      </c>
      <c r="I44">
        <f t="shared" si="1"/>
        <v>-0.73615188005058285</v>
      </c>
      <c r="J44">
        <f t="shared" si="2"/>
        <v>8.5203172307119102E-2</v>
      </c>
      <c r="K44">
        <f t="shared" si="3"/>
        <v>-2.4627166121883897</v>
      </c>
    </row>
    <row r="45" spans="1:11" x14ac:dyDescent="0.25">
      <c r="A45" s="1">
        <v>37469</v>
      </c>
      <c r="B45">
        <v>0.65</v>
      </c>
      <c r="G45" s="1">
        <v>37469</v>
      </c>
      <c r="H45">
        <f t="shared" si="0"/>
        <v>0.90966099501361808</v>
      </c>
      <c r="I45">
        <f t="shared" si="1"/>
        <v>0.25966099501361806</v>
      </c>
      <c r="J45">
        <f t="shared" si="2"/>
        <v>0.89956168917161772</v>
      </c>
      <c r="K45">
        <f t="shared" si="3"/>
        <v>-0.10584764631823895</v>
      </c>
    </row>
    <row r="46" spans="1:11" x14ac:dyDescent="0.25">
      <c r="A46" s="1">
        <v>37500</v>
      </c>
      <c r="B46">
        <v>0.72</v>
      </c>
      <c r="G46" s="1">
        <v>37500</v>
      </c>
      <c r="H46">
        <f t="shared" si="0"/>
        <v>0.59000001769586685</v>
      </c>
      <c r="I46">
        <f t="shared" si="1"/>
        <v>-0.12999998230413312</v>
      </c>
      <c r="J46">
        <f t="shared" si="2"/>
        <v>1.1561659084864699</v>
      </c>
      <c r="K46">
        <f t="shared" si="3"/>
        <v>0.14510927940421808</v>
      </c>
    </row>
    <row r="47" spans="1:11" x14ac:dyDescent="0.25">
      <c r="A47" s="1">
        <v>37530</v>
      </c>
      <c r="B47">
        <v>1.31</v>
      </c>
      <c r="G47" s="1">
        <v>37530</v>
      </c>
      <c r="H47">
        <f t="shared" si="0"/>
        <v>0.63143755179261229</v>
      </c>
      <c r="I47">
        <f t="shared" si="1"/>
        <v>-0.67856244820738776</v>
      </c>
      <c r="J47">
        <f t="shared" si="2"/>
        <v>0.12770479926181624</v>
      </c>
      <c r="K47">
        <f t="shared" si="3"/>
        <v>-2.0580339343333471</v>
      </c>
    </row>
    <row r="48" spans="1:11" x14ac:dyDescent="0.25">
      <c r="A48" s="1">
        <v>37561</v>
      </c>
      <c r="B48">
        <v>3.02</v>
      </c>
      <c r="G48" s="1">
        <v>37561</v>
      </c>
      <c r="H48">
        <f t="shared" si="0"/>
        <v>0.9806967677508962</v>
      </c>
      <c r="I48">
        <f t="shared" si="1"/>
        <v>-2.0393032322491038</v>
      </c>
      <c r="J48">
        <f t="shared" si="2"/>
        <v>1.3435915508890574E-9</v>
      </c>
      <c r="K48">
        <f t="shared" si="3"/>
        <v>-20.427919546622615</v>
      </c>
    </row>
    <row r="49" spans="1:11" x14ac:dyDescent="0.25">
      <c r="A49" s="1">
        <v>37591</v>
      </c>
      <c r="B49">
        <v>2.1</v>
      </c>
      <c r="G49" s="1">
        <v>37591</v>
      </c>
      <c r="H49">
        <f t="shared" si="0"/>
        <v>1.9929565292571085</v>
      </c>
      <c r="I49">
        <f t="shared" si="1"/>
        <v>-0.10704347074289156</v>
      </c>
      <c r="J49">
        <f t="shared" si="2"/>
        <v>1.1878425961548249</v>
      </c>
      <c r="K49">
        <f t="shared" si="3"/>
        <v>0.17213871734306829</v>
      </c>
    </row>
    <row r="50" spans="1:11" x14ac:dyDescent="0.25">
      <c r="A50" s="1">
        <v>37622</v>
      </c>
      <c r="B50">
        <v>2.25</v>
      </c>
      <c r="G50" s="1">
        <v>37622</v>
      </c>
      <c r="H50">
        <f t="shared" si="0"/>
        <v>1.4483489382713102</v>
      </c>
      <c r="I50">
        <f t="shared" si="1"/>
        <v>-0.80165106172868983</v>
      </c>
      <c r="J50">
        <f t="shared" si="2"/>
        <v>5.1662291982801402E-2</v>
      </c>
      <c r="K50">
        <f t="shared" si="3"/>
        <v>-2.9630271256164349</v>
      </c>
    </row>
    <row r="51" spans="1:11" x14ac:dyDescent="0.25">
      <c r="A51" s="1">
        <v>37653</v>
      </c>
      <c r="B51">
        <v>1.57</v>
      </c>
      <c r="G51" s="1">
        <v>37653</v>
      </c>
      <c r="H51">
        <f t="shared" si="0"/>
        <v>1.5371436541929075</v>
      </c>
      <c r="I51">
        <f t="shared" si="1"/>
        <v>-3.2856345807092513E-2</v>
      </c>
      <c r="J51">
        <f t="shared" si="2"/>
        <v>1.2506846487700756</v>
      </c>
      <c r="K51">
        <f t="shared" si="3"/>
        <v>0.22369112038695863</v>
      </c>
    </row>
    <row r="52" spans="1:11" x14ac:dyDescent="0.25">
      <c r="A52" s="1">
        <v>37681</v>
      </c>
      <c r="B52">
        <v>1.23</v>
      </c>
      <c r="G52" s="1">
        <v>37681</v>
      </c>
      <c r="H52">
        <f t="shared" si="0"/>
        <v>1.1346076086816652</v>
      </c>
      <c r="I52">
        <f t="shared" si="1"/>
        <v>-9.5392391318334768E-2</v>
      </c>
      <c r="J52">
        <f t="shared" si="2"/>
        <v>1.2018404718193969</v>
      </c>
      <c r="K52">
        <f t="shared" si="3"/>
        <v>0.18385410835282753</v>
      </c>
    </row>
    <row r="53" spans="1:11" x14ac:dyDescent="0.25">
      <c r="A53" s="1">
        <v>37712</v>
      </c>
      <c r="B53">
        <v>0.97</v>
      </c>
      <c r="G53" s="1">
        <v>37712</v>
      </c>
      <c r="H53">
        <f t="shared" si="0"/>
        <v>0.93333958592604405</v>
      </c>
      <c r="I53">
        <f t="shared" si="1"/>
        <v>-3.6660414073955927E-2</v>
      </c>
      <c r="J53">
        <f t="shared" si="2"/>
        <v>1.2490429107660135</v>
      </c>
      <c r="K53">
        <f t="shared" si="3"/>
        <v>0.22237758665097235</v>
      </c>
    </row>
    <row r="54" spans="1:11" x14ac:dyDescent="0.25">
      <c r="A54" s="1">
        <v>37742</v>
      </c>
      <c r="B54">
        <v>0.61</v>
      </c>
      <c r="G54" s="1">
        <v>37742</v>
      </c>
      <c r="H54">
        <f t="shared" si="0"/>
        <v>0.77942874499527481</v>
      </c>
      <c r="I54">
        <f t="shared" si="1"/>
        <v>0.16942874499527483</v>
      </c>
      <c r="J54">
        <f t="shared" si="2"/>
        <v>1.0903156525561151</v>
      </c>
      <c r="K54">
        <f t="shared" si="3"/>
        <v>8.6467243819129208E-2</v>
      </c>
    </row>
    <row r="55" spans="1:11" x14ac:dyDescent="0.25">
      <c r="A55" s="1">
        <v>37773</v>
      </c>
      <c r="B55">
        <v>-0.15</v>
      </c>
      <c r="G55" s="1">
        <v>37773</v>
      </c>
      <c r="H55">
        <f t="shared" si="0"/>
        <v>0.56632142678344066</v>
      </c>
      <c r="I55">
        <f t="shared" si="1"/>
        <v>0.71632142678344068</v>
      </c>
      <c r="J55">
        <f t="shared" si="2"/>
        <v>9.8308207825574506E-2</v>
      </c>
      <c r="K55">
        <f t="shared" si="3"/>
        <v>-2.3196477575978234</v>
      </c>
    </row>
    <row r="56" spans="1:11" x14ac:dyDescent="0.25">
      <c r="A56" s="1">
        <v>37803</v>
      </c>
      <c r="B56">
        <v>0.2</v>
      </c>
      <c r="G56" s="1">
        <v>37803</v>
      </c>
      <c r="H56">
        <f t="shared" si="0"/>
        <v>0.11642819944734636</v>
      </c>
      <c r="I56">
        <f t="shared" si="1"/>
        <v>-8.3571800552653647E-2</v>
      </c>
      <c r="J56">
        <f t="shared" si="2"/>
        <v>1.2145356576053654</v>
      </c>
      <c r="K56">
        <f t="shared" si="3"/>
        <v>0.19436182893470824</v>
      </c>
    </row>
    <row r="57" spans="1:11" x14ac:dyDescent="0.25">
      <c r="A57" s="1">
        <v>37834</v>
      </c>
      <c r="B57">
        <v>0.34</v>
      </c>
      <c r="G57" s="1">
        <v>37834</v>
      </c>
      <c r="H57">
        <f t="shared" si="0"/>
        <v>0.32361586993107405</v>
      </c>
      <c r="I57">
        <f t="shared" si="1"/>
        <v>-1.6384130068925973E-2</v>
      </c>
      <c r="J57">
        <f t="shared" si="2"/>
        <v>1.2557335953674811</v>
      </c>
      <c r="K57">
        <f t="shared" si="3"/>
        <v>0.22771993994929376</v>
      </c>
    </row>
    <row r="58" spans="1:11" x14ac:dyDescent="0.25">
      <c r="A58" s="1">
        <v>37865</v>
      </c>
      <c r="B58">
        <v>0.78</v>
      </c>
      <c r="G58" s="1">
        <v>37865</v>
      </c>
      <c r="H58">
        <f t="shared" si="0"/>
        <v>0.40649093812456516</v>
      </c>
      <c r="I58">
        <f t="shared" si="1"/>
        <v>-0.37350906187543487</v>
      </c>
      <c r="J58">
        <f t="shared" si="2"/>
        <v>0.62882500036749345</v>
      </c>
      <c r="K58">
        <f t="shared" si="3"/>
        <v>-0.46390227980334631</v>
      </c>
    </row>
    <row r="59" spans="1:11" x14ac:dyDescent="0.25">
      <c r="A59" s="1">
        <v>37895</v>
      </c>
      <c r="B59">
        <v>0.28999999999999998</v>
      </c>
      <c r="G59" s="1">
        <v>37895</v>
      </c>
      <c r="H59">
        <f t="shared" si="0"/>
        <v>0.66695543816125136</v>
      </c>
      <c r="I59">
        <f t="shared" si="1"/>
        <v>0.37695543816125138</v>
      </c>
      <c r="J59">
        <f t="shared" si="2"/>
        <v>0.6207983952555779</v>
      </c>
      <c r="K59">
        <f t="shared" si="3"/>
        <v>-0.47674889507848922</v>
      </c>
    </row>
    <row r="60" spans="1:11" x14ac:dyDescent="0.25">
      <c r="A60" s="1">
        <v>37926</v>
      </c>
      <c r="B60">
        <v>0.34</v>
      </c>
      <c r="G60" s="1">
        <v>37926</v>
      </c>
      <c r="H60">
        <f t="shared" si="0"/>
        <v>0.37689269948403259</v>
      </c>
      <c r="I60">
        <f t="shared" si="1"/>
        <v>3.6892699484032565E-2</v>
      </c>
      <c r="J60">
        <f t="shared" si="2"/>
        <v>1.2489369418619509</v>
      </c>
      <c r="K60">
        <f t="shared" si="3"/>
        <v>0.22229274296897497</v>
      </c>
    </row>
    <row r="61" spans="1:11" x14ac:dyDescent="0.25">
      <c r="A61" s="1">
        <v>37956</v>
      </c>
      <c r="B61">
        <v>0.52</v>
      </c>
      <c r="G61" s="1">
        <v>37956</v>
      </c>
      <c r="H61">
        <f t="shared" si="0"/>
        <v>0.40649093812456516</v>
      </c>
      <c r="I61">
        <f t="shared" si="1"/>
        <v>-0.11350906187543486</v>
      </c>
      <c r="J61">
        <f t="shared" si="2"/>
        <v>1.1794587137628303</v>
      </c>
      <c r="K61">
        <f t="shared" si="3"/>
        <v>0.16505561608453195</v>
      </c>
    </row>
    <row r="62" spans="1:11" x14ac:dyDescent="0.25">
      <c r="A62" s="1">
        <v>37987</v>
      </c>
      <c r="B62">
        <v>0.76</v>
      </c>
      <c r="G62" s="1">
        <v>37987</v>
      </c>
      <c r="H62">
        <f t="shared" si="0"/>
        <v>0.51304459723048224</v>
      </c>
      <c r="I62">
        <f t="shared" si="1"/>
        <v>-0.24695540276951777</v>
      </c>
      <c r="J62">
        <f t="shared" si="2"/>
        <v>0.92878755782348366</v>
      </c>
      <c r="K62">
        <f t="shared" si="3"/>
        <v>-7.387524465773028E-2</v>
      </c>
    </row>
    <row r="63" spans="1:11" x14ac:dyDescent="0.25">
      <c r="A63" s="1">
        <v>38018</v>
      </c>
      <c r="B63">
        <v>0.61</v>
      </c>
      <c r="G63" s="1">
        <v>38018</v>
      </c>
      <c r="H63">
        <f t="shared" si="0"/>
        <v>0.65511614270503826</v>
      </c>
      <c r="I63">
        <f t="shared" si="1"/>
        <v>4.5116142705038276E-2</v>
      </c>
      <c r="J63">
        <f t="shared" si="2"/>
        <v>1.2447602691358222</v>
      </c>
      <c r="K63">
        <f t="shared" si="3"/>
        <v>0.21894295646460771</v>
      </c>
    </row>
    <row r="64" spans="1:11" x14ac:dyDescent="0.25">
      <c r="A64" s="1">
        <v>38047</v>
      </c>
      <c r="B64">
        <v>0.47</v>
      </c>
      <c r="G64" s="1">
        <v>38047</v>
      </c>
      <c r="H64">
        <f t="shared" si="0"/>
        <v>0.56632142678344066</v>
      </c>
      <c r="I64">
        <f t="shared" si="1"/>
        <v>9.6321426783440689E-2</v>
      </c>
      <c r="J64">
        <f t="shared" si="2"/>
        <v>1.2007777566743811</v>
      </c>
      <c r="K64">
        <f t="shared" si="3"/>
        <v>0.18296947741003622</v>
      </c>
    </row>
    <row r="65" spans="1:11" x14ac:dyDescent="0.25">
      <c r="A65" s="1">
        <v>38078</v>
      </c>
      <c r="B65">
        <v>0.37</v>
      </c>
      <c r="G65" s="1">
        <v>38078</v>
      </c>
      <c r="H65">
        <f t="shared" si="0"/>
        <v>0.48344635858994967</v>
      </c>
      <c r="I65">
        <f t="shared" si="1"/>
        <v>0.11344635858994967</v>
      </c>
      <c r="J65">
        <f t="shared" si="2"/>
        <v>1.1795421637855874</v>
      </c>
      <c r="K65">
        <f t="shared" si="3"/>
        <v>0.16512636639546752</v>
      </c>
    </row>
    <row r="66" spans="1:11" x14ac:dyDescent="0.25">
      <c r="A66" s="1">
        <v>38108</v>
      </c>
      <c r="B66">
        <v>0.51</v>
      </c>
      <c r="G66" s="1">
        <v>38108</v>
      </c>
      <c r="H66">
        <f t="shared" si="0"/>
        <v>0.42424988130888464</v>
      </c>
      <c r="I66">
        <f t="shared" si="1"/>
        <v>-8.5750118691115373E-2</v>
      </c>
      <c r="J66">
        <f t="shared" si="2"/>
        <v>1.2123126026769251</v>
      </c>
      <c r="K66">
        <f t="shared" si="3"/>
        <v>0.19252977739146709</v>
      </c>
    </row>
    <row r="67" spans="1:11" x14ac:dyDescent="0.25">
      <c r="A67" s="1">
        <v>38139</v>
      </c>
      <c r="B67">
        <v>0.71</v>
      </c>
      <c r="G67" s="1">
        <v>38139</v>
      </c>
      <c r="H67">
        <f t="shared" si="0"/>
        <v>0.50712494950237574</v>
      </c>
      <c r="I67">
        <f t="shared" si="1"/>
        <v>-0.20287505049762422</v>
      </c>
      <c r="J67">
        <f t="shared" si="2"/>
        <v>1.0249213335432625</v>
      </c>
      <c r="K67">
        <f t="shared" si="3"/>
        <v>2.4615861882440571E-2</v>
      </c>
    </row>
    <row r="68" spans="1:11" x14ac:dyDescent="0.25">
      <c r="A68" s="1">
        <v>38169</v>
      </c>
      <c r="B68">
        <v>0.91</v>
      </c>
      <c r="G68" s="1">
        <v>38169</v>
      </c>
      <c r="H68">
        <f t="shared" ref="H68:H131" si="4">$E$4+$E$5*B67</f>
        <v>0.6255179040645058</v>
      </c>
      <c r="I68">
        <f t="shared" ref="I68:I131" si="5">H68-B68</f>
        <v>-0.28448209593549423</v>
      </c>
      <c r="J68">
        <f t="shared" ref="J68:J131" si="6">_xlfn.NORM.DIST(I68,$E$7,$E$8,0)</f>
        <v>0.84119260930790773</v>
      </c>
      <c r="K68">
        <f t="shared" ref="K68:K131" si="7">LN(J68)</f>
        <v>-0.17293462108388163</v>
      </c>
    </row>
    <row r="69" spans="1:11" x14ac:dyDescent="0.25">
      <c r="A69" s="1">
        <v>38200</v>
      </c>
      <c r="B69">
        <v>0.69</v>
      </c>
      <c r="G69" s="1">
        <v>38200</v>
      </c>
      <c r="H69">
        <f t="shared" si="4"/>
        <v>0.74391085862663586</v>
      </c>
      <c r="I69">
        <f t="shared" si="5"/>
        <v>5.3910858626635916E-2</v>
      </c>
      <c r="J69">
        <f t="shared" si="6"/>
        <v>1.2393871689153979</v>
      </c>
      <c r="K69">
        <f t="shared" si="7"/>
        <v>0.2146170388340575</v>
      </c>
    </row>
    <row r="70" spans="1:11" x14ac:dyDescent="0.25">
      <c r="A70" s="1">
        <v>38231</v>
      </c>
      <c r="B70">
        <v>0.33</v>
      </c>
      <c r="G70" s="1">
        <v>38231</v>
      </c>
      <c r="H70">
        <f t="shared" si="4"/>
        <v>0.61367860860829282</v>
      </c>
      <c r="I70">
        <f t="shared" si="5"/>
        <v>0.2836786086082928</v>
      </c>
      <c r="J70">
        <f t="shared" si="6"/>
        <v>0.84310233959508418</v>
      </c>
      <c r="K70">
        <f t="shared" si="7"/>
        <v>-0.17066692906615327</v>
      </c>
    </row>
    <row r="71" spans="1:11" x14ac:dyDescent="0.25">
      <c r="A71" s="1">
        <v>38261</v>
      </c>
      <c r="B71">
        <v>0.44</v>
      </c>
      <c r="G71" s="1">
        <v>38261</v>
      </c>
      <c r="H71">
        <f t="shared" si="4"/>
        <v>0.40057129039645861</v>
      </c>
      <c r="I71">
        <f t="shared" si="5"/>
        <v>-3.942870960354139E-2</v>
      </c>
      <c r="J71">
        <f t="shared" si="6"/>
        <v>1.2477367741719187</v>
      </c>
      <c r="K71">
        <f t="shared" si="7"/>
        <v>0.2213313295694033</v>
      </c>
    </row>
    <row r="72" spans="1:11" x14ac:dyDescent="0.25">
      <c r="A72" s="1">
        <v>38292</v>
      </c>
      <c r="B72">
        <v>0.69</v>
      </c>
      <c r="G72" s="1">
        <v>38292</v>
      </c>
      <c r="H72">
        <f t="shared" si="4"/>
        <v>0.46568741540563019</v>
      </c>
      <c r="I72">
        <f t="shared" si="5"/>
        <v>-0.22431258459436976</v>
      </c>
      <c r="J72">
        <f t="shared" si="6"/>
        <v>0.97934420106041309</v>
      </c>
      <c r="K72">
        <f t="shared" si="7"/>
        <v>-2.0872113911542995E-2</v>
      </c>
    </row>
    <row r="73" spans="1:11" x14ac:dyDescent="0.25">
      <c r="A73" s="1">
        <v>38322</v>
      </c>
      <c r="B73">
        <v>0.86</v>
      </c>
      <c r="G73" s="1">
        <v>38322</v>
      </c>
      <c r="H73">
        <f t="shared" si="4"/>
        <v>0.61367860860829282</v>
      </c>
      <c r="I73">
        <f t="shared" si="5"/>
        <v>-0.24632139139170717</v>
      </c>
      <c r="J73">
        <f t="shared" si="6"/>
        <v>0.93023148268207556</v>
      </c>
      <c r="K73">
        <f t="shared" si="7"/>
        <v>-7.2321817697063195E-2</v>
      </c>
    </row>
    <row r="74" spans="1:11" x14ac:dyDescent="0.25">
      <c r="A74" s="1">
        <v>38353</v>
      </c>
      <c r="B74">
        <v>0.57999999999999996</v>
      </c>
      <c r="G74" s="1">
        <v>38353</v>
      </c>
      <c r="H74">
        <f t="shared" si="4"/>
        <v>0.7143126199861034</v>
      </c>
      <c r="I74">
        <f t="shared" si="5"/>
        <v>0.13431261998610344</v>
      </c>
      <c r="J74">
        <f t="shared" si="6"/>
        <v>1.1496383699770378</v>
      </c>
      <c r="K74">
        <f t="shared" si="7"/>
        <v>0.13944743203243318</v>
      </c>
    </row>
    <row r="75" spans="1:11" x14ac:dyDescent="0.25">
      <c r="A75" s="1">
        <v>38384</v>
      </c>
      <c r="B75">
        <v>0.59</v>
      </c>
      <c r="G75" s="1">
        <v>38384</v>
      </c>
      <c r="H75">
        <f t="shared" si="4"/>
        <v>0.54856248359912119</v>
      </c>
      <c r="I75">
        <f t="shared" si="5"/>
        <v>-4.1437516400878782E-2</v>
      </c>
      <c r="J75">
        <f t="shared" si="6"/>
        <v>1.2467304069633749</v>
      </c>
      <c r="K75">
        <f t="shared" si="7"/>
        <v>0.2205244500315568</v>
      </c>
    </row>
    <row r="76" spans="1:11" x14ac:dyDescent="0.25">
      <c r="A76" s="1">
        <v>38412</v>
      </c>
      <c r="B76">
        <v>0.61</v>
      </c>
      <c r="G76" s="1">
        <v>38412</v>
      </c>
      <c r="H76">
        <f t="shared" si="4"/>
        <v>0.55448213132722768</v>
      </c>
      <c r="I76">
        <f t="shared" si="5"/>
        <v>-5.5517868672772308E-2</v>
      </c>
      <c r="J76">
        <f t="shared" si="6"/>
        <v>1.2383050232655946</v>
      </c>
      <c r="K76">
        <f t="shared" si="7"/>
        <v>0.21374352781277189</v>
      </c>
    </row>
    <row r="77" spans="1:11" x14ac:dyDescent="0.25">
      <c r="A77" s="1">
        <v>38443</v>
      </c>
      <c r="B77">
        <v>0.87</v>
      </c>
      <c r="G77" s="1">
        <v>38443</v>
      </c>
      <c r="H77">
        <f t="shared" si="4"/>
        <v>0.56632142678344066</v>
      </c>
      <c r="I77">
        <f t="shared" si="5"/>
        <v>-0.30367857321655933</v>
      </c>
      <c r="J77">
        <f t="shared" si="6"/>
        <v>0.79531561024595909</v>
      </c>
      <c r="K77">
        <f t="shared" si="7"/>
        <v>-0.22901624908900703</v>
      </c>
    </row>
    <row r="78" spans="1:11" x14ac:dyDescent="0.25">
      <c r="A78" s="1">
        <v>38473</v>
      </c>
      <c r="B78">
        <v>0.49</v>
      </c>
      <c r="G78" s="1">
        <v>38473</v>
      </c>
      <c r="H78">
        <f t="shared" si="4"/>
        <v>0.7202322677142099</v>
      </c>
      <c r="I78">
        <f t="shared" si="5"/>
        <v>0.2302322677142099</v>
      </c>
      <c r="J78">
        <f t="shared" si="6"/>
        <v>0.96634219223815765</v>
      </c>
      <c r="K78">
        <f t="shared" si="7"/>
        <v>-3.4237271225089329E-2</v>
      </c>
    </row>
    <row r="79" spans="1:11" x14ac:dyDescent="0.25">
      <c r="A79" s="1">
        <v>38504</v>
      </c>
      <c r="B79">
        <v>-0.02</v>
      </c>
      <c r="G79" s="1">
        <v>38504</v>
      </c>
      <c r="H79">
        <f t="shared" si="4"/>
        <v>0.4952856540461627</v>
      </c>
      <c r="I79">
        <f t="shared" si="5"/>
        <v>0.51528565404616267</v>
      </c>
      <c r="J79">
        <f t="shared" si="6"/>
        <v>0.33628107596915768</v>
      </c>
      <c r="K79">
        <f t="shared" si="7"/>
        <v>-1.0898079330973522</v>
      </c>
    </row>
    <row r="80" spans="1:11" x14ac:dyDescent="0.25">
      <c r="A80" s="1">
        <v>38534</v>
      </c>
      <c r="B80">
        <v>0.25</v>
      </c>
      <c r="G80" s="1">
        <v>38534</v>
      </c>
      <c r="H80">
        <f t="shared" si="4"/>
        <v>0.19338361991273093</v>
      </c>
      <c r="I80">
        <f t="shared" si="5"/>
        <v>-5.6616380087269075E-2</v>
      </c>
      <c r="J80">
        <f t="shared" si="6"/>
        <v>1.2375475960540629</v>
      </c>
      <c r="K80">
        <f t="shared" si="7"/>
        <v>0.21313167617891404</v>
      </c>
    </row>
    <row r="81" spans="1:11" x14ac:dyDescent="0.25">
      <c r="A81" s="1">
        <v>38565</v>
      </c>
      <c r="B81">
        <v>0.17</v>
      </c>
      <c r="G81" s="1">
        <v>38565</v>
      </c>
      <c r="H81">
        <f t="shared" si="4"/>
        <v>0.35321410857160657</v>
      </c>
      <c r="I81">
        <f t="shared" si="5"/>
        <v>0.18321410857160655</v>
      </c>
      <c r="J81">
        <f t="shared" si="6"/>
        <v>1.0643035343059941</v>
      </c>
      <c r="K81">
        <f t="shared" si="7"/>
        <v>6.2320626839197563E-2</v>
      </c>
    </row>
    <row r="82" spans="1:11" x14ac:dyDescent="0.25">
      <c r="A82" s="1">
        <v>38596</v>
      </c>
      <c r="B82">
        <v>0.35</v>
      </c>
      <c r="G82" s="1">
        <v>38596</v>
      </c>
      <c r="H82">
        <f t="shared" si="4"/>
        <v>0.30585692674675452</v>
      </c>
      <c r="I82">
        <f t="shared" si="5"/>
        <v>-4.4143073253245457E-2</v>
      </c>
      <c r="J82">
        <f t="shared" si="6"/>
        <v>1.2452973676186128</v>
      </c>
      <c r="K82">
        <f t="shared" si="7"/>
        <v>0.21937435088953372</v>
      </c>
    </row>
    <row r="83" spans="1:11" x14ac:dyDescent="0.25">
      <c r="A83" s="1">
        <v>38626</v>
      </c>
      <c r="B83">
        <v>0.75</v>
      </c>
      <c r="G83" s="1">
        <v>38626</v>
      </c>
      <c r="H83">
        <f t="shared" si="4"/>
        <v>0.4124105858526716</v>
      </c>
      <c r="I83">
        <f t="shared" si="5"/>
        <v>-0.3375894141473284</v>
      </c>
      <c r="J83">
        <f t="shared" si="6"/>
        <v>0.71388703905444495</v>
      </c>
      <c r="K83">
        <f t="shared" si="7"/>
        <v>-0.33703053776607445</v>
      </c>
    </row>
    <row r="84" spans="1:11" x14ac:dyDescent="0.25">
      <c r="A84" s="1">
        <v>38657</v>
      </c>
      <c r="B84">
        <v>0.55000000000000004</v>
      </c>
      <c r="G84" s="1">
        <v>38657</v>
      </c>
      <c r="H84">
        <f t="shared" si="4"/>
        <v>0.64919649497693177</v>
      </c>
      <c r="I84">
        <f t="shared" si="5"/>
        <v>9.9196494976931726E-2</v>
      </c>
      <c r="J84">
        <f t="shared" si="6"/>
        <v>1.1974296898556274</v>
      </c>
      <c r="K84">
        <f t="shared" si="7"/>
        <v>0.18017733447115694</v>
      </c>
    </row>
    <row r="85" spans="1:11" x14ac:dyDescent="0.25">
      <c r="A85" s="1">
        <v>38687</v>
      </c>
      <c r="B85">
        <v>0.36</v>
      </c>
      <c r="G85" s="1">
        <v>38687</v>
      </c>
      <c r="H85">
        <f t="shared" si="4"/>
        <v>0.53080354041480171</v>
      </c>
      <c r="I85">
        <f t="shared" si="5"/>
        <v>0.17080354041480172</v>
      </c>
      <c r="J85">
        <f t="shared" si="6"/>
        <v>1.0877853968610944</v>
      </c>
      <c r="K85">
        <f t="shared" si="7"/>
        <v>8.4143883446210224E-2</v>
      </c>
    </row>
    <row r="86" spans="1:11" x14ac:dyDescent="0.25">
      <c r="A86" s="1">
        <v>38718</v>
      </c>
      <c r="B86">
        <v>0.59</v>
      </c>
      <c r="G86" s="1">
        <v>38718</v>
      </c>
      <c r="H86">
        <f t="shared" si="4"/>
        <v>0.41833023358077814</v>
      </c>
      <c r="I86">
        <f t="shared" si="5"/>
        <v>-0.17166976641922183</v>
      </c>
      <c r="J86">
        <f t="shared" si="6"/>
        <v>1.0861835801184632</v>
      </c>
      <c r="K86">
        <f t="shared" si="7"/>
        <v>8.2670249692032433E-2</v>
      </c>
    </row>
    <row r="87" spans="1:11" x14ac:dyDescent="0.25">
      <c r="A87" s="1">
        <v>38749</v>
      </c>
      <c r="B87">
        <v>0.41</v>
      </c>
      <c r="G87" s="1">
        <v>38749</v>
      </c>
      <c r="H87">
        <f t="shared" si="4"/>
        <v>0.55448213132722768</v>
      </c>
      <c r="I87">
        <f t="shared" si="5"/>
        <v>0.1444821313272277</v>
      </c>
      <c r="J87">
        <f t="shared" si="6"/>
        <v>1.1335617610041582</v>
      </c>
      <c r="K87">
        <f t="shared" si="7"/>
        <v>0.12536467647196067</v>
      </c>
    </row>
    <row r="88" spans="1:11" x14ac:dyDescent="0.25">
      <c r="A88" s="1">
        <v>38777</v>
      </c>
      <c r="B88">
        <v>0.43</v>
      </c>
      <c r="G88" s="1">
        <v>38777</v>
      </c>
      <c r="H88">
        <f t="shared" si="4"/>
        <v>0.4479284722213106</v>
      </c>
      <c r="I88">
        <f t="shared" si="5"/>
        <v>1.792847222131061E-2</v>
      </c>
      <c r="J88">
        <f t="shared" si="6"/>
        <v>1.2554031310500475</v>
      </c>
      <c r="K88">
        <f t="shared" si="7"/>
        <v>0.22745674096385843</v>
      </c>
    </row>
    <row r="89" spans="1:11" x14ac:dyDescent="0.25">
      <c r="A89" s="1">
        <v>38808</v>
      </c>
      <c r="B89">
        <v>0.21</v>
      </c>
      <c r="G89" s="1">
        <v>38808</v>
      </c>
      <c r="H89">
        <f t="shared" si="4"/>
        <v>0.45976776767752364</v>
      </c>
      <c r="I89">
        <f t="shared" si="5"/>
        <v>0.24976776767752365</v>
      </c>
      <c r="J89">
        <f t="shared" si="6"/>
        <v>0.92236525358668731</v>
      </c>
      <c r="K89">
        <f t="shared" si="7"/>
        <v>-8.0813980308912223E-2</v>
      </c>
    </row>
    <row r="90" spans="1:11" x14ac:dyDescent="0.25">
      <c r="A90" s="1">
        <v>38838</v>
      </c>
      <c r="B90">
        <v>0.1</v>
      </c>
      <c r="G90" s="1">
        <v>38838</v>
      </c>
      <c r="H90">
        <f t="shared" si="4"/>
        <v>0.32953551765918054</v>
      </c>
      <c r="I90">
        <f t="shared" si="5"/>
        <v>0.22953551765918054</v>
      </c>
      <c r="J90">
        <f t="shared" si="6"/>
        <v>0.96788103786705937</v>
      </c>
      <c r="K90">
        <f t="shared" si="7"/>
        <v>-3.2646094023175011E-2</v>
      </c>
    </row>
    <row r="91" spans="1:11" x14ac:dyDescent="0.25">
      <c r="A91" s="1">
        <v>38869</v>
      </c>
      <c r="B91">
        <v>-0.21</v>
      </c>
      <c r="G91" s="1">
        <v>38869</v>
      </c>
      <c r="H91">
        <f t="shared" si="4"/>
        <v>0.26441939265000902</v>
      </c>
      <c r="I91">
        <f t="shared" si="5"/>
        <v>0.47441939265000899</v>
      </c>
      <c r="J91">
        <f t="shared" si="6"/>
        <v>0.41110327902849336</v>
      </c>
      <c r="K91">
        <f t="shared" si="7"/>
        <v>-0.88891080887928631</v>
      </c>
    </row>
    <row r="92" spans="1:11" x14ac:dyDescent="0.25">
      <c r="A92" s="1">
        <v>38899</v>
      </c>
      <c r="B92">
        <v>0.19</v>
      </c>
      <c r="G92" s="1">
        <v>38899</v>
      </c>
      <c r="H92">
        <f t="shared" si="4"/>
        <v>8.091031307870733E-2</v>
      </c>
      <c r="I92">
        <f t="shared" si="5"/>
        <v>-0.10908968692129267</v>
      </c>
      <c r="J92">
        <f t="shared" si="6"/>
        <v>1.1852360942429052</v>
      </c>
      <c r="K92">
        <f t="shared" si="7"/>
        <v>0.16994199039032987</v>
      </c>
    </row>
    <row r="93" spans="1:11" x14ac:dyDescent="0.25">
      <c r="A93" s="1">
        <v>38930</v>
      </c>
      <c r="B93">
        <v>0.05</v>
      </c>
      <c r="G93" s="1">
        <v>38930</v>
      </c>
      <c r="H93">
        <f t="shared" si="4"/>
        <v>0.31769622220296756</v>
      </c>
      <c r="I93">
        <f t="shared" si="5"/>
        <v>0.26769622220296757</v>
      </c>
      <c r="J93">
        <f t="shared" si="6"/>
        <v>0.8808257890691259</v>
      </c>
      <c r="K93">
        <f t="shared" si="7"/>
        <v>-0.12689541485932496</v>
      </c>
    </row>
    <row r="94" spans="1:11" x14ac:dyDescent="0.25">
      <c r="A94" s="1">
        <v>38961</v>
      </c>
      <c r="B94">
        <v>0.21</v>
      </c>
      <c r="G94" s="1">
        <v>38961</v>
      </c>
      <c r="H94">
        <f t="shared" si="4"/>
        <v>0.23482115400947645</v>
      </c>
      <c r="I94">
        <f t="shared" si="5"/>
        <v>2.4821154009476459E-2</v>
      </c>
      <c r="J94">
        <f t="shared" si="6"/>
        <v>1.253567064355136</v>
      </c>
      <c r="K94">
        <f t="shared" si="7"/>
        <v>0.22599313886445369</v>
      </c>
    </row>
    <row r="95" spans="1:11" x14ac:dyDescent="0.25">
      <c r="A95" s="1">
        <v>38991</v>
      </c>
      <c r="B95">
        <v>0.33</v>
      </c>
      <c r="G95" s="1">
        <v>38991</v>
      </c>
      <c r="H95">
        <f t="shared" si="4"/>
        <v>0.32953551765918054</v>
      </c>
      <c r="I95">
        <f t="shared" si="5"/>
        <v>-4.6448234081947204E-4</v>
      </c>
      <c r="J95">
        <f t="shared" si="6"/>
        <v>1.2574077245395776</v>
      </c>
      <c r="K95">
        <f t="shared" si="7"/>
        <v>0.22905224021149581</v>
      </c>
    </row>
    <row r="96" spans="1:11" x14ac:dyDescent="0.25">
      <c r="A96" s="1">
        <v>39022</v>
      </c>
      <c r="B96">
        <v>0.31</v>
      </c>
      <c r="G96" s="1">
        <v>39022</v>
      </c>
      <c r="H96">
        <f t="shared" si="4"/>
        <v>0.40057129039645861</v>
      </c>
      <c r="I96">
        <f t="shared" si="5"/>
        <v>9.0571290396458615E-2</v>
      </c>
      <c r="J96">
        <f t="shared" si="6"/>
        <v>1.2072045703840175</v>
      </c>
      <c r="K96">
        <f t="shared" si="7"/>
        <v>0.18830741440205706</v>
      </c>
    </row>
    <row r="97" spans="1:11" x14ac:dyDescent="0.25">
      <c r="A97" s="1">
        <v>39052</v>
      </c>
      <c r="B97">
        <v>0.48</v>
      </c>
      <c r="G97" s="1">
        <v>39052</v>
      </c>
      <c r="H97">
        <f t="shared" si="4"/>
        <v>0.38873199494024557</v>
      </c>
      <c r="I97">
        <f t="shared" si="5"/>
        <v>-9.1268005059754409E-2</v>
      </c>
      <c r="J97">
        <f t="shared" si="6"/>
        <v>1.2064450744090389</v>
      </c>
      <c r="K97">
        <f t="shared" si="7"/>
        <v>0.18767808031317276</v>
      </c>
    </row>
    <row r="98" spans="1:11" x14ac:dyDescent="0.25">
      <c r="A98" s="1">
        <v>39083</v>
      </c>
      <c r="B98">
        <v>0.44</v>
      </c>
      <c r="G98" s="1">
        <v>39083</v>
      </c>
      <c r="H98">
        <f t="shared" si="4"/>
        <v>0.48936600631805616</v>
      </c>
      <c r="I98">
        <f t="shared" si="5"/>
        <v>4.9366006318056155E-2</v>
      </c>
      <c r="J98">
        <f t="shared" si="6"/>
        <v>1.2422801060369528</v>
      </c>
      <c r="K98">
        <f t="shared" si="7"/>
        <v>0.21694848629373023</v>
      </c>
    </row>
    <row r="99" spans="1:11" x14ac:dyDescent="0.25">
      <c r="A99" s="1">
        <v>39114</v>
      </c>
      <c r="B99">
        <v>0.44</v>
      </c>
      <c r="G99" s="1">
        <v>39114</v>
      </c>
      <c r="H99">
        <f t="shared" si="4"/>
        <v>0.46568741540563019</v>
      </c>
      <c r="I99">
        <f t="shared" si="5"/>
        <v>2.5687415405630187E-2</v>
      </c>
      <c r="J99">
        <f t="shared" si="6"/>
        <v>1.2532946581649087</v>
      </c>
      <c r="K99">
        <f t="shared" si="7"/>
        <v>0.22577581041043299</v>
      </c>
    </row>
    <row r="100" spans="1:11" x14ac:dyDescent="0.25">
      <c r="A100" s="1">
        <v>39142</v>
      </c>
      <c r="B100">
        <v>0.37</v>
      </c>
      <c r="G100" s="1">
        <v>39142</v>
      </c>
      <c r="H100">
        <f t="shared" si="4"/>
        <v>0.46568741540563019</v>
      </c>
      <c r="I100">
        <f t="shared" si="5"/>
        <v>9.5687415405630194E-2</v>
      </c>
      <c r="J100">
        <f t="shared" si="6"/>
        <v>1.201504055174875</v>
      </c>
      <c r="K100">
        <f t="shared" si="7"/>
        <v>0.18357415128221988</v>
      </c>
    </row>
    <row r="101" spans="1:11" x14ac:dyDescent="0.25">
      <c r="A101" s="1">
        <v>39173</v>
      </c>
      <c r="B101">
        <v>0.25</v>
      </c>
      <c r="G101" s="1">
        <v>39173</v>
      </c>
      <c r="H101">
        <f t="shared" si="4"/>
        <v>0.42424988130888464</v>
      </c>
      <c r="I101">
        <f t="shared" si="5"/>
        <v>0.17424988130888464</v>
      </c>
      <c r="J101">
        <f t="shared" si="6"/>
        <v>1.0813790746815939</v>
      </c>
      <c r="K101">
        <f t="shared" si="7"/>
        <v>7.8237147567336324E-2</v>
      </c>
    </row>
    <row r="102" spans="1:11" x14ac:dyDescent="0.25">
      <c r="A102" s="1">
        <v>39203</v>
      </c>
      <c r="B102">
        <v>0.28000000000000003</v>
      </c>
      <c r="G102" s="1">
        <v>39203</v>
      </c>
      <c r="H102">
        <f t="shared" si="4"/>
        <v>0.35321410857160657</v>
      </c>
      <c r="I102">
        <f t="shared" si="5"/>
        <v>7.321410857160654E-2</v>
      </c>
      <c r="J102">
        <f t="shared" si="6"/>
        <v>1.224372109837796</v>
      </c>
      <c r="K102">
        <f t="shared" si="7"/>
        <v>0.20242814919345004</v>
      </c>
    </row>
    <row r="103" spans="1:11" x14ac:dyDescent="0.25">
      <c r="A103" s="1">
        <v>39234</v>
      </c>
      <c r="B103">
        <v>0.28000000000000003</v>
      </c>
      <c r="G103" s="1">
        <v>39234</v>
      </c>
      <c r="H103">
        <f t="shared" si="4"/>
        <v>0.3709730517559261</v>
      </c>
      <c r="I103">
        <f t="shared" si="5"/>
        <v>9.0973051755926071E-2</v>
      </c>
      <c r="J103">
        <f t="shared" si="6"/>
        <v>1.2067672940207985</v>
      </c>
      <c r="K103">
        <f t="shared" si="7"/>
        <v>0.18794512652749673</v>
      </c>
    </row>
    <row r="104" spans="1:11" x14ac:dyDescent="0.25">
      <c r="A104" s="1">
        <v>39264</v>
      </c>
      <c r="B104">
        <v>0.24</v>
      </c>
      <c r="G104" s="1">
        <v>39264</v>
      </c>
      <c r="H104">
        <f t="shared" si="4"/>
        <v>0.3709730517559261</v>
      </c>
      <c r="I104">
        <f t="shared" si="5"/>
        <v>0.13097305175592611</v>
      </c>
      <c r="J104">
        <f t="shared" si="6"/>
        <v>1.1547085600602567</v>
      </c>
      <c r="K104">
        <f t="shared" si="7"/>
        <v>0.14384798318129183</v>
      </c>
    </row>
    <row r="105" spans="1:11" x14ac:dyDescent="0.25">
      <c r="A105" s="1">
        <v>39295</v>
      </c>
      <c r="B105">
        <v>0.47</v>
      </c>
      <c r="G105" s="1">
        <v>39295</v>
      </c>
      <c r="H105">
        <f t="shared" si="4"/>
        <v>0.34729446084350002</v>
      </c>
      <c r="I105">
        <f t="shared" si="5"/>
        <v>-0.12270553915649995</v>
      </c>
      <c r="J105">
        <f t="shared" si="6"/>
        <v>1.1668004781439563</v>
      </c>
      <c r="K105">
        <f t="shared" si="7"/>
        <v>0.15426536880218888</v>
      </c>
    </row>
    <row r="106" spans="1:11" x14ac:dyDescent="0.25">
      <c r="A106" s="1">
        <v>39326</v>
      </c>
      <c r="B106">
        <v>0.18</v>
      </c>
      <c r="G106" s="1">
        <v>39326</v>
      </c>
      <c r="H106">
        <f t="shared" si="4"/>
        <v>0.48344635858994967</v>
      </c>
      <c r="I106">
        <f t="shared" si="5"/>
        <v>0.30344635858994967</v>
      </c>
      <c r="J106">
        <f t="shared" si="6"/>
        <v>0.79587288433608283</v>
      </c>
      <c r="K106">
        <f t="shared" si="7"/>
        <v>-0.2283157989351681</v>
      </c>
    </row>
    <row r="107" spans="1:11" x14ac:dyDescent="0.25">
      <c r="A107" s="1">
        <v>39356</v>
      </c>
      <c r="B107">
        <v>0.3</v>
      </c>
      <c r="G107" s="1">
        <v>39356</v>
      </c>
      <c r="H107">
        <f t="shared" si="4"/>
        <v>0.31177657447486101</v>
      </c>
      <c r="I107">
        <f t="shared" si="5"/>
        <v>1.1776574474861023E-2</v>
      </c>
      <c r="J107">
        <f t="shared" si="6"/>
        <v>1.2565431757839709</v>
      </c>
      <c r="K107">
        <f t="shared" si="7"/>
        <v>0.22836443935621409</v>
      </c>
    </row>
    <row r="108" spans="1:11" x14ac:dyDescent="0.25">
      <c r="A108" s="1">
        <v>39387</v>
      </c>
      <c r="B108">
        <v>0.38</v>
      </c>
      <c r="G108" s="1">
        <v>39387</v>
      </c>
      <c r="H108">
        <f t="shared" si="4"/>
        <v>0.38281234721213908</v>
      </c>
      <c r="I108">
        <f t="shared" si="5"/>
        <v>2.8123472121390769E-3</v>
      </c>
      <c r="J108">
        <f t="shared" si="6"/>
        <v>1.2573596752148926</v>
      </c>
      <c r="K108">
        <f t="shared" si="7"/>
        <v>0.22901402647873023</v>
      </c>
    </row>
    <row r="109" spans="1:11" x14ac:dyDescent="0.25">
      <c r="A109" s="1">
        <v>39417</v>
      </c>
      <c r="B109">
        <v>0.74</v>
      </c>
      <c r="G109" s="1">
        <v>39417</v>
      </c>
      <c r="H109">
        <f t="shared" si="4"/>
        <v>0.43016952903699113</v>
      </c>
      <c r="I109">
        <f t="shared" si="5"/>
        <v>-0.30983047096300886</v>
      </c>
      <c r="J109">
        <f t="shared" si="6"/>
        <v>0.78054466923865995</v>
      </c>
      <c r="K109">
        <f t="shared" si="7"/>
        <v>-0.24776330909652416</v>
      </c>
    </row>
    <row r="110" spans="1:11" x14ac:dyDescent="0.25">
      <c r="A110" s="1">
        <v>39448</v>
      </c>
      <c r="B110">
        <v>0.54</v>
      </c>
      <c r="G110" s="1">
        <v>39448</v>
      </c>
      <c r="H110">
        <f t="shared" si="4"/>
        <v>0.64327684724882528</v>
      </c>
      <c r="I110">
        <f t="shared" si="5"/>
        <v>0.10327684724882524</v>
      </c>
      <c r="J110">
        <f t="shared" si="6"/>
        <v>1.1925259471562095</v>
      </c>
      <c r="K110">
        <f t="shared" si="7"/>
        <v>0.17607370216520321</v>
      </c>
    </row>
    <row r="111" spans="1:11" x14ac:dyDescent="0.25">
      <c r="A111" s="1">
        <v>39479</v>
      </c>
      <c r="B111">
        <v>0.49</v>
      </c>
      <c r="G111" s="1">
        <v>39479</v>
      </c>
      <c r="H111">
        <f t="shared" si="4"/>
        <v>0.52488389268669522</v>
      </c>
      <c r="I111">
        <f t="shared" si="5"/>
        <v>3.4883892686695228E-2</v>
      </c>
      <c r="J111">
        <f t="shared" si="6"/>
        <v>1.2498317290334451</v>
      </c>
      <c r="K111">
        <f t="shared" si="7"/>
        <v>0.22300892547931475</v>
      </c>
    </row>
    <row r="112" spans="1:11" x14ac:dyDescent="0.25">
      <c r="A112" s="1">
        <v>39508</v>
      </c>
      <c r="B112">
        <v>0.48</v>
      </c>
      <c r="G112" s="1">
        <v>39508</v>
      </c>
      <c r="H112">
        <f t="shared" si="4"/>
        <v>0.4952856540461627</v>
      </c>
      <c r="I112">
        <f t="shared" si="5"/>
        <v>1.5285654046162722E-2</v>
      </c>
      <c r="J112">
        <f t="shared" si="6"/>
        <v>1.2559506136389158</v>
      </c>
      <c r="K112">
        <f t="shared" si="7"/>
        <v>0.22789274692175998</v>
      </c>
    </row>
    <row r="113" spans="1:11" x14ac:dyDescent="0.25">
      <c r="A113" s="1">
        <v>39539</v>
      </c>
      <c r="B113">
        <v>0.55000000000000004</v>
      </c>
      <c r="G113" s="1">
        <v>39539</v>
      </c>
      <c r="H113">
        <f t="shared" si="4"/>
        <v>0.48936600631805616</v>
      </c>
      <c r="I113">
        <f t="shared" si="5"/>
        <v>-6.0633993681943887E-2</v>
      </c>
      <c r="J113">
        <f t="shared" si="6"/>
        <v>1.2346553210511699</v>
      </c>
      <c r="K113">
        <f t="shared" si="7"/>
        <v>0.2107918388601869</v>
      </c>
    </row>
    <row r="114" spans="1:11" x14ac:dyDescent="0.25">
      <c r="A114" s="1">
        <v>39569</v>
      </c>
      <c r="B114">
        <v>0.79</v>
      </c>
      <c r="G114" s="1">
        <v>39569</v>
      </c>
      <c r="H114">
        <f t="shared" si="4"/>
        <v>0.53080354041480171</v>
      </c>
      <c r="I114">
        <f t="shared" si="5"/>
        <v>-0.25919645958519832</v>
      </c>
      <c r="J114">
        <f t="shared" si="6"/>
        <v>0.90063916515873954</v>
      </c>
      <c r="K114">
        <f t="shared" si="7"/>
        <v>-0.10465058420909179</v>
      </c>
    </row>
    <row r="115" spans="1:11" x14ac:dyDescent="0.25">
      <c r="A115" s="1">
        <v>39600</v>
      </c>
      <c r="B115">
        <v>0.74</v>
      </c>
      <c r="G115" s="1">
        <v>39600</v>
      </c>
      <c r="H115">
        <f t="shared" si="4"/>
        <v>0.67287508588935785</v>
      </c>
      <c r="I115">
        <f t="shared" si="5"/>
        <v>-6.7124914110642142E-2</v>
      </c>
      <c r="J115">
        <f t="shared" si="6"/>
        <v>1.2295801309709227</v>
      </c>
      <c r="K115">
        <f t="shared" si="7"/>
        <v>0.20667275417457642</v>
      </c>
    </row>
    <row r="116" spans="1:11" x14ac:dyDescent="0.25">
      <c r="A116" s="1">
        <v>39630</v>
      </c>
      <c r="B116">
        <v>0.53</v>
      </c>
      <c r="G116" s="1">
        <v>39630</v>
      </c>
      <c r="H116">
        <f t="shared" si="4"/>
        <v>0.64327684724882528</v>
      </c>
      <c r="I116">
        <f t="shared" si="5"/>
        <v>0.11327684724882525</v>
      </c>
      <c r="J116">
        <f t="shared" si="6"/>
        <v>1.1797673555995185</v>
      </c>
      <c r="K116">
        <f t="shared" si="7"/>
        <v>0.16531726276812628</v>
      </c>
    </row>
    <row r="117" spans="1:11" x14ac:dyDescent="0.25">
      <c r="A117" s="1">
        <v>39661</v>
      </c>
      <c r="B117">
        <v>0.28000000000000003</v>
      </c>
      <c r="G117" s="1">
        <v>39661</v>
      </c>
      <c r="H117">
        <f t="shared" si="4"/>
        <v>0.51896424495858873</v>
      </c>
      <c r="I117">
        <f t="shared" si="5"/>
        <v>0.2389642449585887</v>
      </c>
      <c r="J117">
        <f t="shared" si="6"/>
        <v>0.94687560597095044</v>
      </c>
      <c r="K117">
        <f t="shared" si="7"/>
        <v>-5.4587550315287274E-2</v>
      </c>
    </row>
    <row r="118" spans="1:11" x14ac:dyDescent="0.25">
      <c r="A118" s="1">
        <v>39692</v>
      </c>
      <c r="B118">
        <v>0.26</v>
      </c>
      <c r="G118" s="1">
        <v>39692</v>
      </c>
      <c r="H118">
        <f t="shared" si="4"/>
        <v>0.3709730517559261</v>
      </c>
      <c r="I118">
        <f t="shared" si="5"/>
        <v>0.11097305175592609</v>
      </c>
      <c r="J118">
        <f t="shared" si="6"/>
        <v>1.1827986829951356</v>
      </c>
      <c r="K118">
        <f t="shared" si="7"/>
        <v>0.16788339553186515</v>
      </c>
    </row>
    <row r="119" spans="1:11" x14ac:dyDescent="0.25">
      <c r="A119" s="1">
        <v>39722</v>
      </c>
      <c r="B119">
        <v>0.45</v>
      </c>
      <c r="G119" s="1">
        <v>39722</v>
      </c>
      <c r="H119">
        <f t="shared" si="4"/>
        <v>0.35913375629971311</v>
      </c>
      <c r="I119">
        <f t="shared" si="5"/>
        <v>-9.0866243700286897E-2</v>
      </c>
      <c r="J119">
        <f t="shared" si="6"/>
        <v>1.2068836550457165</v>
      </c>
      <c r="K119">
        <f t="shared" si="7"/>
        <v>0.1880415456265824</v>
      </c>
    </row>
    <row r="120" spans="1:11" x14ac:dyDescent="0.25">
      <c r="A120" s="1">
        <v>39753</v>
      </c>
      <c r="B120">
        <v>0.36</v>
      </c>
      <c r="G120" s="1">
        <v>39753</v>
      </c>
      <c r="H120">
        <f t="shared" si="4"/>
        <v>0.47160706313373668</v>
      </c>
      <c r="I120">
        <f t="shared" si="5"/>
        <v>0.11160706313373669</v>
      </c>
      <c r="J120">
        <f t="shared" si="6"/>
        <v>1.1819698920713262</v>
      </c>
      <c r="K120">
        <f t="shared" si="7"/>
        <v>0.1671824466386144</v>
      </c>
    </row>
    <row r="121" spans="1:11" x14ac:dyDescent="0.25">
      <c r="A121" s="1">
        <v>39783</v>
      </c>
      <c r="B121">
        <v>0.28000000000000003</v>
      </c>
      <c r="G121" s="1">
        <v>39783</v>
      </c>
      <c r="H121">
        <f t="shared" si="4"/>
        <v>0.41833023358077814</v>
      </c>
      <c r="I121">
        <f t="shared" si="5"/>
        <v>0.13833023358077812</v>
      </c>
      <c r="J121">
        <f t="shared" si="6"/>
        <v>1.1434003671277035</v>
      </c>
      <c r="K121">
        <f t="shared" si="7"/>
        <v>0.13400660093190792</v>
      </c>
    </row>
    <row r="122" spans="1:11" x14ac:dyDescent="0.25">
      <c r="A122" s="1">
        <v>39814</v>
      </c>
      <c r="B122">
        <v>0.48</v>
      </c>
      <c r="G122" s="1">
        <v>39814</v>
      </c>
      <c r="H122">
        <f t="shared" si="4"/>
        <v>0.3709730517559261</v>
      </c>
      <c r="I122">
        <f t="shared" si="5"/>
        <v>-0.10902694824407388</v>
      </c>
      <c r="J122">
        <f t="shared" si="6"/>
        <v>1.1853166593410951</v>
      </c>
      <c r="K122">
        <f t="shared" si="7"/>
        <v>0.17000996196202267</v>
      </c>
    </row>
    <row r="123" spans="1:11" x14ac:dyDescent="0.25">
      <c r="A123" s="1">
        <v>39845</v>
      </c>
      <c r="B123">
        <v>0.55000000000000004</v>
      </c>
      <c r="G123" s="1">
        <v>39845</v>
      </c>
      <c r="H123">
        <f t="shared" si="4"/>
        <v>0.48936600631805616</v>
      </c>
      <c r="I123">
        <f t="shared" si="5"/>
        <v>-6.0633993681943887E-2</v>
      </c>
      <c r="J123">
        <f t="shared" si="6"/>
        <v>1.2346553210511699</v>
      </c>
      <c r="K123">
        <f t="shared" si="7"/>
        <v>0.2107918388601869</v>
      </c>
    </row>
    <row r="124" spans="1:11" x14ac:dyDescent="0.25">
      <c r="A124" s="1">
        <v>39873</v>
      </c>
      <c r="B124">
        <v>0.2</v>
      </c>
      <c r="G124" s="1">
        <v>39873</v>
      </c>
      <c r="H124">
        <f t="shared" si="4"/>
        <v>0.53080354041480171</v>
      </c>
      <c r="I124">
        <f t="shared" si="5"/>
        <v>0.3308035404148017</v>
      </c>
      <c r="J124">
        <f t="shared" si="6"/>
        <v>0.7301528288275122</v>
      </c>
      <c r="K124">
        <f t="shared" si="7"/>
        <v>-0.31450141219307171</v>
      </c>
    </row>
    <row r="125" spans="1:11" x14ac:dyDescent="0.25">
      <c r="A125" s="1">
        <v>39904</v>
      </c>
      <c r="B125">
        <v>0.48</v>
      </c>
      <c r="G125" s="1">
        <v>39904</v>
      </c>
      <c r="H125">
        <f t="shared" si="4"/>
        <v>0.32361586993107405</v>
      </c>
      <c r="I125">
        <f t="shared" si="5"/>
        <v>-0.15638413006892593</v>
      </c>
      <c r="J125">
        <f t="shared" si="6"/>
        <v>1.1135775470153049</v>
      </c>
      <c r="K125">
        <f t="shared" si="7"/>
        <v>0.10757784787257582</v>
      </c>
    </row>
    <row r="126" spans="1:11" x14ac:dyDescent="0.25">
      <c r="A126" s="1">
        <v>39934</v>
      </c>
      <c r="B126">
        <v>0.47</v>
      </c>
      <c r="G126" s="1">
        <v>39934</v>
      </c>
      <c r="H126">
        <f t="shared" si="4"/>
        <v>0.48936600631805616</v>
      </c>
      <c r="I126">
        <f t="shared" si="5"/>
        <v>1.9366006318056184E-2</v>
      </c>
      <c r="J126">
        <f t="shared" si="6"/>
        <v>1.2550688663888534</v>
      </c>
      <c r="K126">
        <f t="shared" si="7"/>
        <v>0.22719044469486163</v>
      </c>
    </row>
    <row r="127" spans="1:11" x14ac:dyDescent="0.25">
      <c r="A127" s="1">
        <v>39965</v>
      </c>
      <c r="B127">
        <v>0.36</v>
      </c>
      <c r="G127" s="1">
        <v>39965</v>
      </c>
      <c r="H127">
        <f t="shared" si="4"/>
        <v>0.48344635858994967</v>
      </c>
      <c r="I127">
        <f t="shared" si="5"/>
        <v>0.12344635858994968</v>
      </c>
      <c r="J127">
        <f t="shared" si="6"/>
        <v>1.1657441833323208</v>
      </c>
      <c r="K127">
        <f t="shared" si="7"/>
        <v>0.15335966705826334</v>
      </c>
    </row>
    <row r="128" spans="1:11" x14ac:dyDescent="0.25">
      <c r="A128" s="1">
        <v>39995</v>
      </c>
      <c r="B128">
        <v>0.24</v>
      </c>
      <c r="G128" s="1">
        <v>39995</v>
      </c>
      <c r="H128">
        <f t="shared" si="4"/>
        <v>0.41833023358077814</v>
      </c>
      <c r="I128">
        <f t="shared" si="5"/>
        <v>0.17833023358077815</v>
      </c>
      <c r="J128">
        <f t="shared" si="6"/>
        <v>1.0736791651435731</v>
      </c>
      <c r="K128">
        <f t="shared" si="7"/>
        <v>7.1091222541703442E-2</v>
      </c>
    </row>
    <row r="129" spans="1:11" x14ac:dyDescent="0.25">
      <c r="A129" s="1">
        <v>40026</v>
      </c>
      <c r="B129">
        <v>0.15</v>
      </c>
      <c r="G129" s="1">
        <v>40026</v>
      </c>
      <c r="H129">
        <f t="shared" si="4"/>
        <v>0.34729446084350002</v>
      </c>
      <c r="I129">
        <f t="shared" si="5"/>
        <v>0.19729446084350002</v>
      </c>
      <c r="J129">
        <f t="shared" si="6"/>
        <v>1.0363536187181555</v>
      </c>
      <c r="K129">
        <f t="shared" si="7"/>
        <v>3.5708416406213465E-2</v>
      </c>
    </row>
    <row r="130" spans="1:11" x14ac:dyDescent="0.25">
      <c r="A130" s="1">
        <v>40057</v>
      </c>
      <c r="B130">
        <v>0.24</v>
      </c>
      <c r="G130" s="1">
        <v>40057</v>
      </c>
      <c r="H130">
        <f t="shared" si="4"/>
        <v>0.29401763129054148</v>
      </c>
      <c r="I130">
        <f t="shared" si="5"/>
        <v>5.401763129054149E-2</v>
      </c>
      <c r="J130">
        <f t="shared" si="6"/>
        <v>1.2393162285260917</v>
      </c>
      <c r="K130">
        <f t="shared" si="7"/>
        <v>0.21455979891628532</v>
      </c>
    </row>
    <row r="131" spans="1:11" x14ac:dyDescent="0.25">
      <c r="A131" s="1">
        <v>40087</v>
      </c>
      <c r="B131">
        <v>0.28000000000000003</v>
      </c>
      <c r="G131" s="1">
        <v>40087</v>
      </c>
      <c r="H131">
        <f t="shared" si="4"/>
        <v>0.34729446084350002</v>
      </c>
      <c r="I131">
        <f t="shared" si="5"/>
        <v>6.7294460843499992E-2</v>
      </c>
      <c r="J131">
        <f t="shared" si="6"/>
        <v>1.2294409946086358</v>
      </c>
      <c r="K131">
        <f t="shared" si="7"/>
        <v>0.20655959015090208</v>
      </c>
    </row>
    <row r="132" spans="1:11" x14ac:dyDescent="0.25">
      <c r="A132" s="1">
        <v>40118</v>
      </c>
      <c r="B132">
        <v>0.41</v>
      </c>
      <c r="G132" s="1">
        <v>40118</v>
      </c>
      <c r="H132">
        <f t="shared" ref="H132:H195" si="8">$E$4+$E$5*B131</f>
        <v>0.3709730517559261</v>
      </c>
      <c r="I132">
        <f t="shared" ref="I132:I195" si="9">H132-B132</f>
        <v>-3.9026948244073878E-2</v>
      </c>
      <c r="J132">
        <f t="shared" ref="J132:J195" si="10">_xlfn.NORM.DIST(I132,$E$7,$E$8,0)</f>
        <v>1.2479321418763132</v>
      </c>
      <c r="K132">
        <f t="shared" ref="K132:K195" si="11">LN(J132)</f>
        <v>0.22148789497239985</v>
      </c>
    </row>
    <row r="133" spans="1:11" x14ac:dyDescent="0.25">
      <c r="A133" s="1">
        <v>40148</v>
      </c>
      <c r="B133">
        <v>0.37</v>
      </c>
      <c r="G133" s="1">
        <v>40148</v>
      </c>
      <c r="H133">
        <f t="shared" si="8"/>
        <v>0.4479284722213106</v>
      </c>
      <c r="I133">
        <f t="shared" si="9"/>
        <v>7.7928472221310607E-2</v>
      </c>
      <c r="J133">
        <f t="shared" si="10"/>
        <v>1.2200463947168994</v>
      </c>
      <c r="K133">
        <f t="shared" si="11"/>
        <v>0.19888888647857664</v>
      </c>
    </row>
    <row r="134" spans="1:11" x14ac:dyDescent="0.25">
      <c r="A134" s="1">
        <v>40179</v>
      </c>
      <c r="B134">
        <v>0.75</v>
      </c>
      <c r="G134" s="1">
        <v>40179</v>
      </c>
      <c r="H134">
        <f t="shared" si="8"/>
        <v>0.42424988130888464</v>
      </c>
      <c r="I134">
        <f t="shared" si="9"/>
        <v>-0.32575011869111536</v>
      </c>
      <c r="J134">
        <f t="shared" si="10"/>
        <v>0.74228535313827337</v>
      </c>
      <c r="K134">
        <f t="shared" si="11"/>
        <v>-0.29802153678135229</v>
      </c>
    </row>
    <row r="135" spans="1:11" x14ac:dyDescent="0.25">
      <c r="A135" s="1">
        <v>40210</v>
      </c>
      <c r="B135">
        <v>0.78</v>
      </c>
      <c r="G135" s="1">
        <v>40210</v>
      </c>
      <c r="H135">
        <f t="shared" si="8"/>
        <v>0.64919649497693177</v>
      </c>
      <c r="I135">
        <f t="shared" si="9"/>
        <v>-0.13080350502306826</v>
      </c>
      <c r="J135">
        <f t="shared" si="10"/>
        <v>1.1549630657535563</v>
      </c>
      <c r="K135">
        <f t="shared" si="11"/>
        <v>0.14406836575991061</v>
      </c>
    </row>
    <row r="136" spans="1:11" x14ac:dyDescent="0.25">
      <c r="A136" s="1">
        <v>40238</v>
      </c>
      <c r="B136">
        <v>0.52</v>
      </c>
      <c r="G136" s="1">
        <v>40238</v>
      </c>
      <c r="H136">
        <f t="shared" si="8"/>
        <v>0.66695543816125136</v>
      </c>
      <c r="I136">
        <f t="shared" si="9"/>
        <v>0.14695543816125134</v>
      </c>
      <c r="J136">
        <f t="shared" si="10"/>
        <v>1.1295104605306292</v>
      </c>
      <c r="K136">
        <f t="shared" si="11"/>
        <v>0.12178431808766588</v>
      </c>
    </row>
    <row r="137" spans="1:11" x14ac:dyDescent="0.25">
      <c r="A137" s="1">
        <v>40269</v>
      </c>
      <c r="B137">
        <v>0.56999999999999995</v>
      </c>
      <c r="G137" s="1">
        <v>40269</v>
      </c>
      <c r="H137">
        <f t="shared" si="8"/>
        <v>0.51304459723048224</v>
      </c>
      <c r="I137">
        <f t="shared" si="9"/>
        <v>-5.6955402769517716E-2</v>
      </c>
      <c r="J137">
        <f t="shared" si="10"/>
        <v>1.2373109371492033</v>
      </c>
      <c r="K137">
        <f t="shared" si="11"/>
        <v>0.21294042572770161</v>
      </c>
    </row>
    <row r="138" spans="1:11" x14ac:dyDescent="0.25">
      <c r="A138" s="1">
        <v>40299</v>
      </c>
      <c r="B138">
        <v>0.43</v>
      </c>
      <c r="G138" s="1">
        <v>40299</v>
      </c>
      <c r="H138">
        <f t="shared" si="8"/>
        <v>0.54264283587101469</v>
      </c>
      <c r="I138">
        <f t="shared" si="9"/>
        <v>0.1126428358710147</v>
      </c>
      <c r="J138">
        <f t="shared" si="10"/>
        <v>1.1806070184538875</v>
      </c>
      <c r="K138">
        <f t="shared" si="11"/>
        <v>0.16602872862626952</v>
      </c>
    </row>
    <row r="139" spans="1:11" x14ac:dyDescent="0.25">
      <c r="A139" s="1">
        <v>40330</v>
      </c>
      <c r="B139">
        <v>0</v>
      </c>
      <c r="G139" s="1">
        <v>40330</v>
      </c>
      <c r="H139">
        <f t="shared" si="8"/>
        <v>0.45976776767752364</v>
      </c>
      <c r="I139">
        <f t="shared" si="9"/>
        <v>0.45976776767752364</v>
      </c>
      <c r="J139">
        <f t="shared" si="10"/>
        <v>0.44002474969311128</v>
      </c>
      <c r="K139">
        <f t="shared" si="11"/>
        <v>-0.82092430434923724</v>
      </c>
    </row>
    <row r="140" spans="1:11" x14ac:dyDescent="0.25">
      <c r="A140" s="1">
        <v>40360</v>
      </c>
      <c r="B140">
        <v>0.01</v>
      </c>
      <c r="G140" s="1">
        <v>40360</v>
      </c>
      <c r="H140">
        <f t="shared" si="8"/>
        <v>0.20522291536894394</v>
      </c>
      <c r="I140">
        <f t="shared" si="9"/>
        <v>0.19522291536894393</v>
      </c>
      <c r="J140">
        <f t="shared" si="10"/>
        <v>1.040547746257368</v>
      </c>
      <c r="K140">
        <f t="shared" si="11"/>
        <v>3.9747253600149982E-2</v>
      </c>
    </row>
    <row r="141" spans="1:11" x14ac:dyDescent="0.25">
      <c r="A141" s="1">
        <v>40391</v>
      </c>
      <c r="B141">
        <v>0.04</v>
      </c>
      <c r="G141" s="1">
        <v>40391</v>
      </c>
      <c r="H141">
        <f t="shared" si="8"/>
        <v>0.21114256309705043</v>
      </c>
      <c r="I141">
        <f t="shared" si="9"/>
        <v>0.17114256309705042</v>
      </c>
      <c r="J141">
        <f t="shared" si="10"/>
        <v>1.0871592047588092</v>
      </c>
      <c r="K141">
        <f t="shared" si="11"/>
        <v>8.3568059934088432E-2</v>
      </c>
    </row>
    <row r="142" spans="1:11" x14ac:dyDescent="0.25">
      <c r="A142" s="1">
        <v>40422</v>
      </c>
      <c r="B142">
        <v>0.45</v>
      </c>
      <c r="G142" s="1">
        <v>40422</v>
      </c>
      <c r="H142">
        <f t="shared" si="8"/>
        <v>0.22890150628136996</v>
      </c>
      <c r="I142">
        <f t="shared" si="9"/>
        <v>-0.22109849371863005</v>
      </c>
      <c r="J142">
        <f t="shared" si="10"/>
        <v>0.98633300164939408</v>
      </c>
      <c r="K142">
        <f t="shared" si="11"/>
        <v>-1.376125152985631E-2</v>
      </c>
    </row>
    <row r="143" spans="1:11" x14ac:dyDescent="0.25">
      <c r="A143" s="1">
        <v>40452</v>
      </c>
      <c r="B143">
        <v>0.75</v>
      </c>
      <c r="G143" s="1">
        <v>40452</v>
      </c>
      <c r="H143">
        <f t="shared" si="8"/>
        <v>0.47160706313373668</v>
      </c>
      <c r="I143">
        <f t="shared" si="9"/>
        <v>-0.27839293686626332</v>
      </c>
      <c r="J143">
        <f t="shared" si="10"/>
        <v>0.85563602463342514</v>
      </c>
      <c r="K143">
        <f t="shared" si="11"/>
        <v>-0.15591019813311235</v>
      </c>
    </row>
    <row r="144" spans="1:11" x14ac:dyDescent="0.25">
      <c r="A144" s="1">
        <v>40483</v>
      </c>
      <c r="B144">
        <v>0.83</v>
      </c>
      <c r="G144" s="1">
        <v>40483</v>
      </c>
      <c r="H144">
        <f t="shared" si="8"/>
        <v>0.64919649497693177</v>
      </c>
      <c r="I144">
        <f t="shared" si="9"/>
        <v>-0.18080350502306819</v>
      </c>
      <c r="J144">
        <f t="shared" si="10"/>
        <v>1.0689524671152451</v>
      </c>
      <c r="K144">
        <f t="shared" si="11"/>
        <v>6.6679166241639054E-2</v>
      </c>
    </row>
    <row r="145" spans="1:11" x14ac:dyDescent="0.25">
      <c r="A145" s="1">
        <v>40513</v>
      </c>
      <c r="B145">
        <v>0.63</v>
      </c>
      <c r="G145" s="1">
        <v>40513</v>
      </c>
      <c r="H145">
        <f t="shared" si="8"/>
        <v>0.69655367680178382</v>
      </c>
      <c r="I145">
        <f t="shared" si="9"/>
        <v>6.6553676801783812E-2</v>
      </c>
      <c r="J145">
        <f t="shared" si="10"/>
        <v>1.2300466442401059</v>
      </c>
      <c r="K145">
        <f t="shared" si="11"/>
        <v>0.20705209081172726</v>
      </c>
    </row>
    <row r="146" spans="1:11" x14ac:dyDescent="0.25">
      <c r="A146" s="1">
        <v>40544</v>
      </c>
      <c r="B146">
        <v>0.83</v>
      </c>
      <c r="G146" s="1">
        <v>40544</v>
      </c>
      <c r="H146">
        <f t="shared" si="8"/>
        <v>0.57816072223965376</v>
      </c>
      <c r="I146">
        <f t="shared" si="9"/>
        <v>-0.2518392777603462</v>
      </c>
      <c r="J146">
        <f t="shared" si="10"/>
        <v>0.9176168424692257</v>
      </c>
      <c r="K146">
        <f t="shared" si="11"/>
        <v>-8.5975358421273684E-2</v>
      </c>
    </row>
    <row r="147" spans="1:11" x14ac:dyDescent="0.25">
      <c r="A147" s="1">
        <v>40575</v>
      </c>
      <c r="B147">
        <v>0.8</v>
      </c>
      <c r="G147" s="1">
        <v>40575</v>
      </c>
      <c r="H147">
        <f t="shared" si="8"/>
        <v>0.69655367680178382</v>
      </c>
      <c r="I147">
        <f t="shared" si="9"/>
        <v>-0.10344632319821623</v>
      </c>
      <c r="J147">
        <f t="shared" si="10"/>
        <v>1.1923183715567924</v>
      </c>
      <c r="K147">
        <f t="shared" si="11"/>
        <v>0.17589962321312025</v>
      </c>
    </row>
    <row r="148" spans="1:11" x14ac:dyDescent="0.25">
      <c r="A148" s="1">
        <v>40603</v>
      </c>
      <c r="B148">
        <v>0.79</v>
      </c>
      <c r="G148" s="1">
        <v>40603</v>
      </c>
      <c r="H148">
        <f t="shared" si="8"/>
        <v>0.67879473361746445</v>
      </c>
      <c r="I148">
        <f t="shared" si="9"/>
        <v>-0.11120526638253558</v>
      </c>
      <c r="J148">
        <f t="shared" si="10"/>
        <v>1.182495534082965</v>
      </c>
      <c r="K148">
        <f t="shared" si="11"/>
        <v>0.16762706470279398</v>
      </c>
    </row>
    <row r="149" spans="1:11" x14ac:dyDescent="0.25">
      <c r="A149" s="1">
        <v>40634</v>
      </c>
      <c r="B149">
        <v>0.77</v>
      </c>
      <c r="G149" s="1">
        <v>40634</v>
      </c>
      <c r="H149">
        <f t="shared" si="8"/>
        <v>0.67287508588935785</v>
      </c>
      <c r="I149">
        <f t="shared" si="9"/>
        <v>-9.7124914110642169E-2</v>
      </c>
      <c r="J149">
        <f t="shared" si="10"/>
        <v>1.1998509943225155</v>
      </c>
      <c r="K149">
        <f t="shared" si="11"/>
        <v>0.18219737768614463</v>
      </c>
    </row>
    <row r="150" spans="1:11" x14ac:dyDescent="0.25">
      <c r="A150" s="1">
        <v>40664</v>
      </c>
      <c r="B150">
        <v>0.47</v>
      </c>
      <c r="G150" s="1">
        <v>40664</v>
      </c>
      <c r="H150">
        <f t="shared" si="8"/>
        <v>0.66103579043314487</v>
      </c>
      <c r="I150">
        <f t="shared" si="9"/>
        <v>0.19103579043314489</v>
      </c>
      <c r="J150">
        <f t="shared" si="10"/>
        <v>1.0489405059958976</v>
      </c>
      <c r="K150">
        <f t="shared" si="11"/>
        <v>4.7780612835259716E-2</v>
      </c>
    </row>
    <row r="151" spans="1:11" x14ac:dyDescent="0.25">
      <c r="A151" s="1">
        <v>40695</v>
      </c>
      <c r="B151">
        <v>0.15</v>
      </c>
      <c r="G151" s="1">
        <v>40695</v>
      </c>
      <c r="H151">
        <f t="shared" si="8"/>
        <v>0.48344635858994967</v>
      </c>
      <c r="I151">
        <f t="shared" si="9"/>
        <v>0.33344635858994964</v>
      </c>
      <c r="J151">
        <f t="shared" si="10"/>
        <v>0.72381378894229786</v>
      </c>
      <c r="K151">
        <f t="shared" si="11"/>
        <v>-0.32322111727090536</v>
      </c>
    </row>
    <row r="152" spans="1:11" x14ac:dyDescent="0.25">
      <c r="A152" s="1">
        <v>40725</v>
      </c>
      <c r="B152">
        <v>0.16</v>
      </c>
      <c r="G152" s="1">
        <v>40725</v>
      </c>
      <c r="H152">
        <f t="shared" si="8"/>
        <v>0.29401763129054148</v>
      </c>
      <c r="I152">
        <f t="shared" si="9"/>
        <v>0.13401763129054148</v>
      </c>
      <c r="J152">
        <f t="shared" si="10"/>
        <v>1.150090459662396</v>
      </c>
      <c r="K152">
        <f t="shared" si="11"/>
        <v>0.13984059985757433</v>
      </c>
    </row>
    <row r="153" spans="1:11" x14ac:dyDescent="0.25">
      <c r="A153" s="1">
        <v>40756</v>
      </c>
      <c r="B153">
        <v>0.37</v>
      </c>
      <c r="G153" s="1">
        <v>40756</v>
      </c>
      <c r="H153">
        <f t="shared" si="8"/>
        <v>0.29993727901864803</v>
      </c>
      <c r="I153">
        <f t="shared" si="9"/>
        <v>-7.0062720981351967E-2</v>
      </c>
      <c r="J153">
        <f t="shared" si="10"/>
        <v>1.2271211019918773</v>
      </c>
      <c r="K153">
        <f t="shared" si="11"/>
        <v>0.2046708584883756</v>
      </c>
    </row>
    <row r="154" spans="1:11" x14ac:dyDescent="0.25">
      <c r="A154" s="1">
        <v>40787</v>
      </c>
      <c r="B154">
        <v>0.53</v>
      </c>
      <c r="G154" s="1">
        <v>40787</v>
      </c>
      <c r="H154">
        <f t="shared" si="8"/>
        <v>0.42424988130888464</v>
      </c>
      <c r="I154">
        <f t="shared" si="9"/>
        <v>-0.10575011869111539</v>
      </c>
      <c r="J154">
        <f t="shared" si="10"/>
        <v>1.1894675245974005</v>
      </c>
      <c r="K154">
        <f t="shared" si="11"/>
        <v>0.17350574866257781</v>
      </c>
    </row>
    <row r="155" spans="1:11" x14ac:dyDescent="0.25">
      <c r="A155" s="1">
        <v>40817</v>
      </c>
      <c r="B155">
        <v>0.43</v>
      </c>
      <c r="G155" s="1">
        <v>40817</v>
      </c>
      <c r="H155">
        <f t="shared" si="8"/>
        <v>0.51896424495858873</v>
      </c>
      <c r="I155">
        <f t="shared" si="9"/>
        <v>8.8964244958588734E-2</v>
      </c>
      <c r="J155">
        <f t="shared" si="10"/>
        <v>1.2089358754367743</v>
      </c>
      <c r="K155">
        <f t="shared" si="11"/>
        <v>0.18974053088505582</v>
      </c>
    </row>
    <row r="156" spans="1:11" x14ac:dyDescent="0.25">
      <c r="A156" s="1">
        <v>40848</v>
      </c>
      <c r="B156">
        <v>0.52</v>
      </c>
      <c r="G156" s="1">
        <v>40848</v>
      </c>
      <c r="H156">
        <f t="shared" si="8"/>
        <v>0.45976776767752364</v>
      </c>
      <c r="I156">
        <f t="shared" si="9"/>
        <v>-6.0232232322476376E-2</v>
      </c>
      <c r="J156">
        <f t="shared" si="10"/>
        <v>1.2349531552006461</v>
      </c>
      <c r="K156">
        <f t="shared" si="11"/>
        <v>0.2110330383489189</v>
      </c>
    </row>
    <row r="157" spans="1:11" x14ac:dyDescent="0.25">
      <c r="A157" s="1">
        <v>40878</v>
      </c>
      <c r="B157">
        <v>0.5</v>
      </c>
      <c r="G157" s="1">
        <v>40878</v>
      </c>
      <c r="H157">
        <f t="shared" si="8"/>
        <v>0.51304459723048224</v>
      </c>
      <c r="I157">
        <f t="shared" si="9"/>
        <v>1.3044597230482236E-2</v>
      </c>
      <c r="J157">
        <f t="shared" si="10"/>
        <v>1.2563467516486875</v>
      </c>
      <c r="K157">
        <f t="shared" si="11"/>
        <v>0.22820810609741182</v>
      </c>
    </row>
    <row r="158" spans="1:11" x14ac:dyDescent="0.25">
      <c r="A158" s="1">
        <v>40909</v>
      </c>
      <c r="B158">
        <v>0.56000000000000005</v>
      </c>
      <c r="G158" s="1">
        <v>40909</v>
      </c>
      <c r="H158">
        <f t="shared" si="8"/>
        <v>0.50120530177426925</v>
      </c>
      <c r="I158">
        <f t="shared" si="9"/>
        <v>-5.8794698225730802E-2</v>
      </c>
      <c r="J158">
        <f t="shared" si="10"/>
        <v>1.2360031851786941</v>
      </c>
      <c r="K158">
        <f t="shared" si="11"/>
        <v>0.2118829360375945</v>
      </c>
    </row>
    <row r="159" spans="1:11" x14ac:dyDescent="0.25">
      <c r="A159" s="1">
        <v>40940</v>
      </c>
      <c r="B159">
        <v>0.45</v>
      </c>
      <c r="G159" s="1">
        <v>40940</v>
      </c>
      <c r="H159">
        <f t="shared" si="8"/>
        <v>0.5367231881429082</v>
      </c>
      <c r="I159">
        <f t="shared" si="9"/>
        <v>8.6723188142908192E-2</v>
      </c>
      <c r="J159">
        <f t="shared" si="10"/>
        <v>1.2113024733612923</v>
      </c>
      <c r="K159">
        <f t="shared" si="11"/>
        <v>0.19169620494499251</v>
      </c>
    </row>
    <row r="160" spans="1:11" x14ac:dyDescent="0.25">
      <c r="A160" s="1">
        <v>40969</v>
      </c>
      <c r="B160">
        <v>0.21</v>
      </c>
      <c r="G160" s="1">
        <v>40969</v>
      </c>
      <c r="H160">
        <f t="shared" si="8"/>
        <v>0.47160706313373668</v>
      </c>
      <c r="I160">
        <f t="shared" si="9"/>
        <v>0.26160706313373672</v>
      </c>
      <c r="J160">
        <f t="shared" si="10"/>
        <v>0.89504042984717458</v>
      </c>
      <c r="K160">
        <f t="shared" si="11"/>
        <v>-0.11088638871394865</v>
      </c>
    </row>
    <row r="161" spans="1:11" x14ac:dyDescent="0.25">
      <c r="A161" s="1">
        <v>41000</v>
      </c>
      <c r="B161">
        <v>0.64</v>
      </c>
      <c r="G161" s="1">
        <v>41000</v>
      </c>
      <c r="H161">
        <f t="shared" si="8"/>
        <v>0.32953551765918054</v>
      </c>
      <c r="I161">
        <f t="shared" si="9"/>
        <v>-0.31046448234081947</v>
      </c>
      <c r="J161">
        <f t="shared" si="10"/>
        <v>0.77902141624758847</v>
      </c>
      <c r="K161">
        <f t="shared" si="11"/>
        <v>-0.24971674151548839</v>
      </c>
    </row>
    <row r="162" spans="1:11" x14ac:dyDescent="0.25">
      <c r="A162" s="1">
        <v>41030</v>
      </c>
      <c r="B162">
        <v>0.36</v>
      </c>
      <c r="G162" s="1">
        <v>41030</v>
      </c>
      <c r="H162">
        <f t="shared" si="8"/>
        <v>0.58408036996776036</v>
      </c>
      <c r="I162">
        <f t="shared" si="9"/>
        <v>0.22408036996776037</v>
      </c>
      <c r="J162">
        <f t="shared" si="10"/>
        <v>0.97985096492869117</v>
      </c>
      <c r="K162">
        <f t="shared" si="11"/>
        <v>-2.035479548571496E-2</v>
      </c>
    </row>
    <row r="163" spans="1:11" x14ac:dyDescent="0.25">
      <c r="A163" s="1">
        <v>41061</v>
      </c>
      <c r="B163">
        <v>0.08</v>
      </c>
      <c r="G163" s="1">
        <v>41061</v>
      </c>
      <c r="H163">
        <f t="shared" si="8"/>
        <v>0.41833023358077814</v>
      </c>
      <c r="I163">
        <f t="shared" si="9"/>
        <v>0.33833023358077813</v>
      </c>
      <c r="J163">
        <f t="shared" si="10"/>
        <v>0.71211380260946466</v>
      </c>
      <c r="K163">
        <f t="shared" si="11"/>
        <v>-0.3395175452167814</v>
      </c>
    </row>
    <row r="164" spans="1:11" x14ac:dyDescent="0.25">
      <c r="A164" s="1">
        <v>41091</v>
      </c>
      <c r="B164">
        <v>0.43</v>
      </c>
      <c r="G164" s="1">
        <v>41091</v>
      </c>
      <c r="H164">
        <f t="shared" si="8"/>
        <v>0.25258009719379598</v>
      </c>
      <c r="I164">
        <f t="shared" si="9"/>
        <v>-0.17741990280620401</v>
      </c>
      <c r="J164">
        <f t="shared" si="10"/>
        <v>1.0754075642068099</v>
      </c>
      <c r="K164">
        <f t="shared" si="11"/>
        <v>7.2699719222906259E-2</v>
      </c>
    </row>
    <row r="165" spans="1:11" x14ac:dyDescent="0.25">
      <c r="A165" s="1">
        <v>41122</v>
      </c>
      <c r="B165">
        <v>0.41</v>
      </c>
      <c r="G165" s="1">
        <v>41122</v>
      </c>
      <c r="H165">
        <f t="shared" si="8"/>
        <v>0.45976776767752364</v>
      </c>
      <c r="I165">
        <f t="shared" si="9"/>
        <v>4.9767767677523667E-2</v>
      </c>
      <c r="J165">
        <f t="shared" si="10"/>
        <v>1.242034369813426</v>
      </c>
      <c r="K165">
        <f t="shared" si="11"/>
        <v>0.21675065608606764</v>
      </c>
    </row>
    <row r="166" spans="1:11" x14ac:dyDescent="0.25">
      <c r="A166" s="1">
        <v>41153</v>
      </c>
      <c r="B166">
        <v>0.56999999999999995</v>
      </c>
      <c r="G166" s="1">
        <v>41153</v>
      </c>
      <c r="H166">
        <f t="shared" si="8"/>
        <v>0.4479284722213106</v>
      </c>
      <c r="I166">
        <f t="shared" si="9"/>
        <v>-0.12207152777868935</v>
      </c>
      <c r="J166">
        <f t="shared" si="10"/>
        <v>1.1677002552285289</v>
      </c>
      <c r="K166">
        <f t="shared" si="11"/>
        <v>0.15503622067322492</v>
      </c>
    </row>
    <row r="167" spans="1:11" x14ac:dyDescent="0.25">
      <c r="A167" s="1">
        <v>41183</v>
      </c>
      <c r="B167">
        <v>0.59</v>
      </c>
      <c r="G167" s="1">
        <v>41183</v>
      </c>
      <c r="H167">
        <f t="shared" si="8"/>
        <v>0.54264283587101469</v>
      </c>
      <c r="I167">
        <f t="shared" si="9"/>
        <v>-4.7357164128985274E-2</v>
      </c>
      <c r="J167">
        <f t="shared" si="10"/>
        <v>1.2434795948218582</v>
      </c>
      <c r="K167">
        <f t="shared" si="11"/>
        <v>0.21791357465491884</v>
      </c>
    </row>
    <row r="168" spans="1:11" x14ac:dyDescent="0.25">
      <c r="A168" s="1">
        <v>41214</v>
      </c>
      <c r="B168">
        <v>0.6</v>
      </c>
      <c r="G168" s="1">
        <v>41214</v>
      </c>
      <c r="H168">
        <f t="shared" si="8"/>
        <v>0.55448213132722768</v>
      </c>
      <c r="I168">
        <f t="shared" si="9"/>
        <v>-4.5517868672772299E-2</v>
      </c>
      <c r="J168">
        <f t="shared" si="10"/>
        <v>1.2445351397478441</v>
      </c>
      <c r="K168">
        <f t="shared" si="11"/>
        <v>0.21876207846371765</v>
      </c>
    </row>
    <row r="169" spans="1:11" x14ac:dyDescent="0.25">
      <c r="A169" s="1">
        <v>41244</v>
      </c>
      <c r="B169">
        <v>0.79</v>
      </c>
      <c r="G169" s="1">
        <v>41244</v>
      </c>
      <c r="H169">
        <f t="shared" si="8"/>
        <v>0.56040177905533417</v>
      </c>
      <c r="I169">
        <f t="shared" si="9"/>
        <v>-0.22959822094466587</v>
      </c>
      <c r="J169">
        <f t="shared" si="10"/>
        <v>0.96774251613848361</v>
      </c>
      <c r="K169">
        <f t="shared" si="11"/>
        <v>-3.2789222813404476E-2</v>
      </c>
    </row>
    <row r="170" spans="1:11" x14ac:dyDescent="0.25">
      <c r="A170" s="1">
        <v>41275</v>
      </c>
      <c r="B170">
        <v>0.86</v>
      </c>
      <c r="G170" s="1">
        <v>41275</v>
      </c>
      <c r="H170">
        <f t="shared" si="8"/>
        <v>0.67287508588935785</v>
      </c>
      <c r="I170">
        <f t="shared" si="9"/>
        <v>-0.18712491411064214</v>
      </c>
      <c r="J170">
        <f t="shared" si="10"/>
        <v>1.0566743282759563</v>
      </c>
      <c r="K170">
        <f t="shared" si="11"/>
        <v>5.5126549929136619E-2</v>
      </c>
    </row>
    <row r="171" spans="1:11" x14ac:dyDescent="0.25">
      <c r="A171" s="1">
        <v>41306</v>
      </c>
      <c r="B171">
        <v>0.6</v>
      </c>
      <c r="G171" s="1">
        <v>41306</v>
      </c>
      <c r="H171">
        <f t="shared" si="8"/>
        <v>0.7143126199861034</v>
      </c>
      <c r="I171">
        <f t="shared" si="9"/>
        <v>0.11431261998610343</v>
      </c>
      <c r="J171">
        <f t="shared" si="10"/>
        <v>1.1783867751469743</v>
      </c>
      <c r="K171">
        <f t="shared" si="11"/>
        <v>0.16414636338349695</v>
      </c>
    </row>
    <row r="172" spans="1:11" x14ac:dyDescent="0.25">
      <c r="A172" s="1">
        <v>41334</v>
      </c>
      <c r="B172">
        <v>0.47</v>
      </c>
      <c r="G172" s="1">
        <v>41334</v>
      </c>
      <c r="H172">
        <f t="shared" si="8"/>
        <v>0.56040177905533417</v>
      </c>
      <c r="I172">
        <f t="shared" si="9"/>
        <v>9.0401779055334197E-2</v>
      </c>
      <c r="J172">
        <f t="shared" si="10"/>
        <v>1.2073885330041798</v>
      </c>
      <c r="K172">
        <f t="shared" si="11"/>
        <v>0.18845979007169686</v>
      </c>
    </row>
    <row r="173" spans="1:11" x14ac:dyDescent="0.25">
      <c r="A173" s="1">
        <v>41365</v>
      </c>
      <c r="B173">
        <v>0.55000000000000004</v>
      </c>
      <c r="G173" s="1">
        <v>41365</v>
      </c>
      <c r="H173">
        <f t="shared" si="8"/>
        <v>0.48344635858994967</v>
      </c>
      <c r="I173">
        <f t="shared" si="9"/>
        <v>-6.6553641410050379E-2</v>
      </c>
      <c r="J173">
        <f t="shared" si="10"/>
        <v>1.2300466266869221</v>
      </c>
      <c r="K173">
        <f t="shared" si="11"/>
        <v>0.20705207654138719</v>
      </c>
    </row>
    <row r="174" spans="1:11" x14ac:dyDescent="0.25">
      <c r="A174" s="1">
        <v>41395</v>
      </c>
      <c r="B174">
        <v>0.37</v>
      </c>
      <c r="G174" s="1">
        <v>41395</v>
      </c>
      <c r="H174">
        <f t="shared" si="8"/>
        <v>0.53080354041480171</v>
      </c>
      <c r="I174">
        <f t="shared" si="9"/>
        <v>0.16080354041480172</v>
      </c>
      <c r="J174">
        <f t="shared" si="10"/>
        <v>1.1058509637617671</v>
      </c>
      <c r="K174">
        <f t="shared" si="11"/>
        <v>0.10061514154441417</v>
      </c>
    </row>
    <row r="175" spans="1:11" x14ac:dyDescent="0.25">
      <c r="A175" s="1">
        <v>41426</v>
      </c>
      <c r="B175">
        <v>0.26</v>
      </c>
      <c r="G175" s="1">
        <v>41426</v>
      </c>
      <c r="H175">
        <f t="shared" si="8"/>
        <v>0.42424988130888464</v>
      </c>
      <c r="I175">
        <f t="shared" si="9"/>
        <v>0.16424988130888463</v>
      </c>
      <c r="J175">
        <f t="shared" si="10"/>
        <v>1.0997146886201343</v>
      </c>
      <c r="K175">
        <f t="shared" si="11"/>
        <v>9.5050772179380016E-2</v>
      </c>
    </row>
    <row r="176" spans="1:11" x14ac:dyDescent="0.25">
      <c r="A176" s="1">
        <v>41456</v>
      </c>
      <c r="B176">
        <v>0.03</v>
      </c>
      <c r="G176" s="1">
        <v>41456</v>
      </c>
      <c r="H176">
        <f t="shared" si="8"/>
        <v>0.35913375629971311</v>
      </c>
      <c r="I176">
        <f t="shared" si="9"/>
        <v>0.32913375629971309</v>
      </c>
      <c r="J176">
        <f t="shared" si="10"/>
        <v>0.73416028595503302</v>
      </c>
      <c r="K176">
        <f t="shared" si="11"/>
        <v>-0.30902790097184607</v>
      </c>
    </row>
    <row r="177" spans="1:11" x14ac:dyDescent="0.25">
      <c r="A177" s="1">
        <v>41487</v>
      </c>
      <c r="B177">
        <v>0.24</v>
      </c>
      <c r="G177" s="1">
        <v>41487</v>
      </c>
      <c r="H177">
        <f t="shared" si="8"/>
        <v>0.22298185855326344</v>
      </c>
      <c r="I177">
        <f t="shared" si="9"/>
        <v>-1.7018141446736551E-2</v>
      </c>
      <c r="J177">
        <f t="shared" si="10"/>
        <v>1.2556015109705287</v>
      </c>
      <c r="K177">
        <f t="shared" si="11"/>
        <v>0.22761474937019441</v>
      </c>
    </row>
    <row r="178" spans="1:11" x14ac:dyDescent="0.25">
      <c r="A178" s="1">
        <v>41518</v>
      </c>
      <c r="B178">
        <v>0.35</v>
      </c>
      <c r="G178" s="1">
        <v>41518</v>
      </c>
      <c r="H178">
        <f t="shared" si="8"/>
        <v>0.34729446084350002</v>
      </c>
      <c r="I178">
        <f t="shared" si="9"/>
        <v>-2.7055391564999587E-3</v>
      </c>
      <c r="J178">
        <f t="shared" si="10"/>
        <v>1.257363354032405</v>
      </c>
      <c r="K178">
        <f t="shared" si="11"/>
        <v>0.22901695230194785</v>
      </c>
    </row>
    <row r="179" spans="1:11" x14ac:dyDescent="0.25">
      <c r="A179" s="1">
        <v>41548</v>
      </c>
      <c r="B179">
        <v>0.56999999999999995</v>
      </c>
      <c r="G179" s="1">
        <v>41548</v>
      </c>
      <c r="H179">
        <f t="shared" si="8"/>
        <v>0.4124105858526716</v>
      </c>
      <c r="I179">
        <f t="shared" si="9"/>
        <v>-0.15758941414732835</v>
      </c>
      <c r="J179">
        <f t="shared" si="10"/>
        <v>1.1114863354782094</v>
      </c>
      <c r="K179">
        <f t="shared" si="11"/>
        <v>0.10569816057975209</v>
      </c>
    </row>
    <row r="180" spans="1:11" x14ac:dyDescent="0.25">
      <c r="A180" s="1">
        <v>41579</v>
      </c>
      <c r="B180">
        <v>0.54</v>
      </c>
      <c r="G180" s="1">
        <v>41579</v>
      </c>
      <c r="H180">
        <f t="shared" si="8"/>
        <v>0.54264283587101469</v>
      </c>
      <c r="I180">
        <f t="shared" si="9"/>
        <v>2.6428358710146593E-3</v>
      </c>
      <c r="J180">
        <f t="shared" si="10"/>
        <v>1.2573654504162592</v>
      </c>
      <c r="K180">
        <f t="shared" si="11"/>
        <v>0.22901861958618985</v>
      </c>
    </row>
    <row r="181" spans="1:11" x14ac:dyDescent="0.25">
      <c r="A181" s="1">
        <v>41609</v>
      </c>
      <c r="B181">
        <v>0.92</v>
      </c>
      <c r="G181" s="1">
        <v>41609</v>
      </c>
      <c r="H181">
        <f t="shared" si="8"/>
        <v>0.52488389268669522</v>
      </c>
      <c r="I181">
        <f t="shared" si="9"/>
        <v>-0.39511610731330482</v>
      </c>
      <c r="J181">
        <f t="shared" si="10"/>
        <v>0.57903374889002057</v>
      </c>
      <c r="K181">
        <f t="shared" si="11"/>
        <v>-0.54639451486945767</v>
      </c>
    </row>
    <row r="182" spans="1:11" x14ac:dyDescent="0.25">
      <c r="A182" s="1">
        <v>41640</v>
      </c>
      <c r="B182">
        <v>0.55000000000000004</v>
      </c>
      <c r="G182" s="1">
        <v>41640</v>
      </c>
      <c r="H182">
        <f t="shared" si="8"/>
        <v>0.74983050635474235</v>
      </c>
      <c r="I182">
        <f t="shared" si="9"/>
        <v>0.19983050635474231</v>
      </c>
      <c r="J182">
        <f t="shared" si="10"/>
        <v>1.0311822040143452</v>
      </c>
      <c r="K182">
        <f t="shared" si="11"/>
        <v>3.0705914943835455E-2</v>
      </c>
    </row>
    <row r="183" spans="1:11" x14ac:dyDescent="0.25">
      <c r="A183" s="1">
        <v>41671</v>
      </c>
      <c r="B183">
        <v>0.69</v>
      </c>
      <c r="G183" s="1">
        <v>41671</v>
      </c>
      <c r="H183">
        <f t="shared" si="8"/>
        <v>0.53080354041480171</v>
      </c>
      <c r="I183">
        <f t="shared" si="9"/>
        <v>-0.15919645958519824</v>
      </c>
      <c r="J183">
        <f t="shared" si="10"/>
        <v>1.1086792719812266</v>
      </c>
      <c r="K183">
        <f t="shared" si="11"/>
        <v>0.1031694618346472</v>
      </c>
    </row>
    <row r="184" spans="1:11" x14ac:dyDescent="0.25">
      <c r="A184" s="1">
        <v>41699</v>
      </c>
      <c r="B184">
        <v>0.92</v>
      </c>
      <c r="G184" s="1">
        <v>41699</v>
      </c>
      <c r="H184">
        <f t="shared" si="8"/>
        <v>0.61367860860829282</v>
      </c>
      <c r="I184">
        <f t="shared" si="9"/>
        <v>-0.30632139139170722</v>
      </c>
      <c r="J184">
        <f t="shared" si="10"/>
        <v>0.78897250329046675</v>
      </c>
      <c r="K184">
        <f t="shared" si="11"/>
        <v>-0.23702380881899485</v>
      </c>
    </row>
    <row r="185" spans="1:11" x14ac:dyDescent="0.25">
      <c r="A185" s="1">
        <v>41730</v>
      </c>
      <c r="B185">
        <v>0.67</v>
      </c>
      <c r="G185" s="1">
        <v>41730</v>
      </c>
      <c r="H185">
        <f t="shared" si="8"/>
        <v>0.74983050635474235</v>
      </c>
      <c r="I185">
        <f t="shared" si="9"/>
        <v>7.9830506354742314E-2</v>
      </c>
      <c r="J185">
        <f t="shared" si="10"/>
        <v>1.2182293399076574</v>
      </c>
      <c r="K185">
        <f t="shared" si="11"/>
        <v>0.19739844376956792</v>
      </c>
    </row>
    <row r="186" spans="1:11" x14ac:dyDescent="0.25">
      <c r="A186" s="1">
        <v>41760</v>
      </c>
      <c r="B186">
        <v>0.46</v>
      </c>
      <c r="G186" s="1">
        <v>41760</v>
      </c>
      <c r="H186">
        <f t="shared" si="8"/>
        <v>0.60183931315207984</v>
      </c>
      <c r="I186">
        <f t="shared" si="9"/>
        <v>0.14183931315207982</v>
      </c>
      <c r="J186">
        <f t="shared" si="10"/>
        <v>1.1378303637083165</v>
      </c>
      <c r="K186">
        <f t="shared" si="11"/>
        <v>0.12912325931013124</v>
      </c>
    </row>
    <row r="187" spans="1:11" x14ac:dyDescent="0.25">
      <c r="A187" s="1">
        <v>41791</v>
      </c>
      <c r="B187">
        <v>0.4</v>
      </c>
      <c r="G187" s="1">
        <v>41791</v>
      </c>
      <c r="H187">
        <f t="shared" si="8"/>
        <v>0.47752671086184317</v>
      </c>
      <c r="I187">
        <f t="shared" si="9"/>
        <v>7.7526710861843151E-2</v>
      </c>
      <c r="J187">
        <f t="shared" si="10"/>
        <v>1.2204249418626871</v>
      </c>
      <c r="K187">
        <f t="shared" si="11"/>
        <v>0.19919911110047633</v>
      </c>
    </row>
    <row r="188" spans="1:11" x14ac:dyDescent="0.25">
      <c r="A188" s="1">
        <v>41821</v>
      </c>
      <c r="B188">
        <v>0.01</v>
      </c>
      <c r="G188" s="1">
        <v>41821</v>
      </c>
      <c r="H188">
        <f t="shared" si="8"/>
        <v>0.44200882449320417</v>
      </c>
      <c r="I188">
        <f t="shared" si="9"/>
        <v>0.43200882449320416</v>
      </c>
      <c r="J188">
        <f t="shared" si="10"/>
        <v>0.49759697158186139</v>
      </c>
      <c r="K188">
        <f t="shared" si="11"/>
        <v>-0.69796482362500134</v>
      </c>
    </row>
    <row r="189" spans="1:11" x14ac:dyDescent="0.25">
      <c r="A189" s="1">
        <v>41852</v>
      </c>
      <c r="B189">
        <v>0.25</v>
      </c>
      <c r="G189" s="1">
        <v>41852</v>
      </c>
      <c r="H189">
        <f t="shared" si="8"/>
        <v>0.21114256309705043</v>
      </c>
      <c r="I189">
        <f t="shared" si="9"/>
        <v>-3.8857436902949571E-2</v>
      </c>
      <c r="J189">
        <f t="shared" si="10"/>
        <v>1.2480139803904124</v>
      </c>
      <c r="K189">
        <f t="shared" si="11"/>
        <v>0.22155347212039875</v>
      </c>
    </row>
    <row r="190" spans="1:11" x14ac:dyDescent="0.25">
      <c r="A190" s="1">
        <v>41883</v>
      </c>
      <c r="B190">
        <v>0.56999999999999995</v>
      </c>
      <c r="G190" s="1">
        <v>41883</v>
      </c>
      <c r="H190">
        <f t="shared" si="8"/>
        <v>0.35321410857160657</v>
      </c>
      <c r="I190">
        <f t="shared" si="9"/>
        <v>-0.21678589142839338</v>
      </c>
      <c r="J190">
        <f t="shared" si="10"/>
        <v>0.99562831360530324</v>
      </c>
      <c r="K190">
        <f t="shared" si="11"/>
        <v>-4.3812701573327948E-3</v>
      </c>
    </row>
    <row r="191" spans="1:11" x14ac:dyDescent="0.25">
      <c r="A191" s="1">
        <v>41913</v>
      </c>
      <c r="B191">
        <v>0.42</v>
      </c>
      <c r="G191" s="1">
        <v>41913</v>
      </c>
      <c r="H191">
        <f t="shared" si="8"/>
        <v>0.54264283587101469</v>
      </c>
      <c r="I191">
        <f t="shared" si="9"/>
        <v>0.12264283587101471</v>
      </c>
      <c r="J191">
        <f t="shared" si="10"/>
        <v>1.1668897232039837</v>
      </c>
      <c r="K191">
        <f t="shared" si="11"/>
        <v>0.15434185287022786</v>
      </c>
    </row>
    <row r="192" spans="1:11" x14ac:dyDescent="0.25">
      <c r="A192" s="1">
        <v>41944</v>
      </c>
      <c r="B192">
        <v>0.51</v>
      </c>
      <c r="G192" s="1">
        <v>41944</v>
      </c>
      <c r="H192">
        <f t="shared" si="8"/>
        <v>0.45384811994941715</v>
      </c>
      <c r="I192">
        <f t="shared" si="9"/>
        <v>-5.6151880050582859E-2</v>
      </c>
      <c r="J192">
        <f t="shared" si="10"/>
        <v>1.2378696245571674</v>
      </c>
      <c r="K192">
        <f t="shared" si="11"/>
        <v>0.2133918573736151</v>
      </c>
    </row>
    <row r="193" spans="1:11" x14ac:dyDescent="0.25">
      <c r="A193" s="1">
        <v>41974</v>
      </c>
      <c r="B193">
        <v>0.78</v>
      </c>
      <c r="G193" s="1">
        <v>41974</v>
      </c>
      <c r="H193">
        <f t="shared" si="8"/>
        <v>0.50712494950237574</v>
      </c>
      <c r="I193">
        <f t="shared" si="9"/>
        <v>-0.27287505049762428</v>
      </c>
      <c r="J193">
        <f t="shared" si="10"/>
        <v>0.86866207383679006</v>
      </c>
      <c r="K193">
        <f t="shared" si="11"/>
        <v>-0.1408010971972502</v>
      </c>
    </row>
    <row r="194" spans="1:11" x14ac:dyDescent="0.25">
      <c r="A194" s="1">
        <v>42005</v>
      </c>
      <c r="B194">
        <v>1.24</v>
      </c>
      <c r="G194" s="1">
        <v>42005</v>
      </c>
      <c r="H194">
        <f t="shared" si="8"/>
        <v>0.66695543816125136</v>
      </c>
      <c r="I194">
        <f t="shared" si="9"/>
        <v>-0.57304456183874863</v>
      </c>
      <c r="J194">
        <f t="shared" si="10"/>
        <v>0.24609342189387082</v>
      </c>
      <c r="K194">
        <f t="shared" si="11"/>
        <v>-1.4020440513455705</v>
      </c>
    </row>
    <row r="195" spans="1:11" x14ac:dyDescent="0.25">
      <c r="A195" s="1">
        <v>42036</v>
      </c>
      <c r="B195">
        <v>1.22</v>
      </c>
      <c r="G195" s="1">
        <v>42036</v>
      </c>
      <c r="H195">
        <f t="shared" si="8"/>
        <v>0.93925923365415054</v>
      </c>
      <c r="I195">
        <f t="shared" si="9"/>
        <v>-0.28074076634584944</v>
      </c>
      <c r="J195">
        <f t="shared" si="10"/>
        <v>0.85007494356567326</v>
      </c>
      <c r="K195">
        <f t="shared" si="11"/>
        <v>-0.16243076448363192</v>
      </c>
    </row>
    <row r="196" spans="1:11" x14ac:dyDescent="0.25">
      <c r="A196" s="1">
        <v>42064</v>
      </c>
      <c r="B196">
        <v>1.32</v>
      </c>
      <c r="G196" s="1">
        <v>42064</v>
      </c>
      <c r="H196">
        <f t="shared" ref="H196:H259" si="12">$E$4+$E$5*B195</f>
        <v>0.92741993819793755</v>
      </c>
      <c r="I196">
        <f t="shared" ref="I196:I259" si="13">H196-B196</f>
        <v>-0.39258006180206251</v>
      </c>
      <c r="J196">
        <f t="shared" ref="J196:J259" si="14">_xlfn.NORM.DIST(I196,$E$7,$E$8,0)</f>
        <v>0.58480778041284076</v>
      </c>
      <c r="K196">
        <f t="shared" ref="K196:K259" si="15">LN(J196)</f>
        <v>-0.53647206623554855</v>
      </c>
    </row>
    <row r="197" spans="1:11" x14ac:dyDescent="0.25">
      <c r="A197" s="1">
        <v>42095</v>
      </c>
      <c r="B197">
        <v>0.71</v>
      </c>
      <c r="G197" s="1">
        <v>42095</v>
      </c>
      <c r="H197">
        <f t="shared" si="12"/>
        <v>0.9866164154790027</v>
      </c>
      <c r="I197">
        <f t="shared" si="13"/>
        <v>0.27661641547900273</v>
      </c>
      <c r="J197">
        <f t="shared" si="14"/>
        <v>0.85983690900582732</v>
      </c>
      <c r="K197">
        <f t="shared" si="15"/>
        <v>-0.15101254840955164</v>
      </c>
    </row>
    <row r="198" spans="1:11" x14ac:dyDescent="0.25">
      <c r="A198" s="1">
        <v>42125</v>
      </c>
      <c r="B198">
        <v>0.74</v>
      </c>
      <c r="G198" s="1">
        <v>42125</v>
      </c>
      <c r="H198">
        <f t="shared" si="12"/>
        <v>0.6255179040645058</v>
      </c>
      <c r="I198">
        <f t="shared" si="13"/>
        <v>-0.11448209593549419</v>
      </c>
      <c r="J198">
        <f t="shared" si="14"/>
        <v>1.1781597629871912</v>
      </c>
      <c r="K198">
        <f t="shared" si="15"/>
        <v>0.16395369826374495</v>
      </c>
    </row>
    <row r="199" spans="1:11" x14ac:dyDescent="0.25">
      <c r="A199" s="1">
        <v>42156</v>
      </c>
      <c r="B199">
        <v>0.79</v>
      </c>
      <c r="G199" s="1">
        <v>42156</v>
      </c>
      <c r="H199">
        <f t="shared" si="12"/>
        <v>0.64327684724882528</v>
      </c>
      <c r="I199">
        <f t="shared" si="13"/>
        <v>-0.14672315275117476</v>
      </c>
      <c r="J199">
        <f t="shared" si="14"/>
        <v>1.1298931570865023</v>
      </c>
      <c r="K199">
        <f t="shared" si="15"/>
        <v>0.12212307700311496</v>
      </c>
    </row>
    <row r="200" spans="1:11" x14ac:dyDescent="0.25">
      <c r="A200" s="1">
        <v>42186</v>
      </c>
      <c r="B200">
        <v>0.62</v>
      </c>
      <c r="G200" s="1">
        <v>42186</v>
      </c>
      <c r="H200">
        <f t="shared" si="12"/>
        <v>0.67287508588935785</v>
      </c>
      <c r="I200">
        <f t="shared" si="13"/>
        <v>5.2875085889357853E-2</v>
      </c>
      <c r="J200">
        <f t="shared" si="14"/>
        <v>1.2400682639101603</v>
      </c>
      <c r="K200">
        <f t="shared" si="15"/>
        <v>0.21516642964211694</v>
      </c>
    </row>
    <row r="201" spans="1:11" x14ac:dyDescent="0.25">
      <c r="A201" s="1">
        <v>42217</v>
      </c>
      <c r="B201">
        <v>0.22</v>
      </c>
      <c r="G201" s="1">
        <v>42217</v>
      </c>
      <c r="H201">
        <f t="shared" si="12"/>
        <v>0.57224107451154727</v>
      </c>
      <c r="I201">
        <f t="shared" si="13"/>
        <v>0.35224107451154729</v>
      </c>
      <c r="J201">
        <f t="shared" si="14"/>
        <v>0.67893244778382922</v>
      </c>
      <c r="K201">
        <f t="shared" si="15"/>
        <v>-0.38723364417263734</v>
      </c>
    </row>
    <row r="202" spans="1:11" x14ac:dyDescent="0.25">
      <c r="A202" s="1">
        <v>42248</v>
      </c>
      <c r="B202">
        <v>0.54</v>
      </c>
      <c r="G202" s="1">
        <v>42248</v>
      </c>
      <c r="H202">
        <f t="shared" si="12"/>
        <v>0.33545516538728704</v>
      </c>
      <c r="I202">
        <f t="shared" si="13"/>
        <v>-0.204544834612713</v>
      </c>
      <c r="J202">
        <f t="shared" si="14"/>
        <v>1.0214638300378673</v>
      </c>
      <c r="K202">
        <f t="shared" si="15"/>
        <v>2.1236725973030633E-2</v>
      </c>
    </row>
    <row r="203" spans="1:11" x14ac:dyDescent="0.25">
      <c r="A203" s="1">
        <v>42278</v>
      </c>
      <c r="B203">
        <v>0.82</v>
      </c>
      <c r="G203" s="1">
        <v>42278</v>
      </c>
      <c r="H203">
        <f t="shared" si="12"/>
        <v>0.52488389268669522</v>
      </c>
      <c r="I203">
        <f t="shared" si="13"/>
        <v>-0.29511610731330473</v>
      </c>
      <c r="J203">
        <f t="shared" si="14"/>
        <v>0.81583012459103954</v>
      </c>
      <c r="K203">
        <f t="shared" si="15"/>
        <v>-0.20354912633886499</v>
      </c>
    </row>
    <row r="204" spans="1:11" x14ac:dyDescent="0.25">
      <c r="A204" s="1">
        <v>42309</v>
      </c>
      <c r="B204">
        <v>1.01</v>
      </c>
      <c r="G204" s="1">
        <v>42309</v>
      </c>
      <c r="H204">
        <f t="shared" si="12"/>
        <v>0.69063402907367732</v>
      </c>
      <c r="I204">
        <f t="shared" si="13"/>
        <v>-0.31936597092632268</v>
      </c>
      <c r="J204">
        <f t="shared" si="14"/>
        <v>0.75762673778796985</v>
      </c>
      <c r="K204">
        <f t="shared" si="15"/>
        <v>-0.27756444498229088</v>
      </c>
    </row>
    <row r="205" spans="1:11" x14ac:dyDescent="0.25">
      <c r="A205" s="1">
        <v>42339</v>
      </c>
      <c r="B205">
        <v>0.96</v>
      </c>
      <c r="G205" s="1">
        <v>42339</v>
      </c>
      <c r="H205">
        <f t="shared" si="12"/>
        <v>0.803107335907701</v>
      </c>
      <c r="I205">
        <f t="shared" si="13"/>
        <v>-0.15689266409229896</v>
      </c>
      <c r="J205">
        <f t="shared" si="14"/>
        <v>1.1126967009565314</v>
      </c>
      <c r="K205">
        <f t="shared" si="15"/>
        <v>0.10678652927780671</v>
      </c>
    </row>
    <row r="206" spans="1:11" x14ac:dyDescent="0.25">
      <c r="A206" s="1">
        <v>42370</v>
      </c>
      <c r="B206">
        <v>1.27</v>
      </c>
      <c r="G206" s="1">
        <v>42370</v>
      </c>
      <c r="H206">
        <f t="shared" si="12"/>
        <v>0.77350909726716832</v>
      </c>
      <c r="I206">
        <f t="shared" si="13"/>
        <v>-0.4964909027328317</v>
      </c>
      <c r="J206">
        <f t="shared" si="14"/>
        <v>0.36959281745337541</v>
      </c>
      <c r="K206">
        <f t="shared" si="15"/>
        <v>-0.99535337270058133</v>
      </c>
    </row>
    <row r="207" spans="1:11" x14ac:dyDescent="0.25">
      <c r="A207" s="1">
        <v>42401</v>
      </c>
      <c r="B207">
        <v>0.9</v>
      </c>
      <c r="G207" s="1">
        <v>42401</v>
      </c>
      <c r="H207">
        <f t="shared" si="12"/>
        <v>0.95701817683847001</v>
      </c>
      <c r="I207">
        <f t="shared" si="13"/>
        <v>5.7018176838469992E-2</v>
      </c>
      <c r="J207">
        <f t="shared" si="14"/>
        <v>1.2372670068354843</v>
      </c>
      <c r="K207">
        <f t="shared" si="15"/>
        <v>0.21290492042965242</v>
      </c>
    </row>
    <row r="208" spans="1:11" x14ac:dyDescent="0.25">
      <c r="A208" s="1">
        <v>42430</v>
      </c>
      <c r="B208">
        <v>0.43</v>
      </c>
      <c r="G208" s="1">
        <v>42430</v>
      </c>
      <c r="H208">
        <f t="shared" si="12"/>
        <v>0.73799121089852937</v>
      </c>
      <c r="I208">
        <f t="shared" si="13"/>
        <v>0.30799121089852938</v>
      </c>
      <c r="J208">
        <f t="shared" si="14"/>
        <v>0.78496288387359037</v>
      </c>
      <c r="K208">
        <f t="shared" si="15"/>
        <v>-0.24211884400723674</v>
      </c>
    </row>
    <row r="209" spans="1:11" x14ac:dyDescent="0.25">
      <c r="A209" s="1">
        <v>42461</v>
      </c>
      <c r="B209">
        <v>0.61</v>
      </c>
      <c r="G209" s="1">
        <v>42461</v>
      </c>
      <c r="H209">
        <f t="shared" si="12"/>
        <v>0.45976776767752364</v>
      </c>
      <c r="I209">
        <f t="shared" si="13"/>
        <v>-0.15023223232247634</v>
      </c>
      <c r="J209">
        <f t="shared" si="14"/>
        <v>1.1240600294022274</v>
      </c>
      <c r="K209">
        <f t="shared" si="15"/>
        <v>0.11694715698688284</v>
      </c>
    </row>
    <row r="210" spans="1:11" x14ac:dyDescent="0.25">
      <c r="A210" s="1">
        <v>42491</v>
      </c>
      <c r="B210">
        <v>0.78</v>
      </c>
      <c r="G210" s="1">
        <v>42491</v>
      </c>
      <c r="H210">
        <f t="shared" si="12"/>
        <v>0.56632142678344066</v>
      </c>
      <c r="I210">
        <f t="shared" si="13"/>
        <v>-0.21367857321655936</v>
      </c>
      <c r="J210">
        <f t="shared" si="14"/>
        <v>1.0022652384114257</v>
      </c>
      <c r="K210">
        <f t="shared" si="15"/>
        <v>2.2626766268678163E-3</v>
      </c>
    </row>
    <row r="211" spans="1:11" x14ac:dyDescent="0.25">
      <c r="A211" s="1">
        <v>42522</v>
      </c>
      <c r="B211">
        <v>0.35</v>
      </c>
      <c r="G211" s="1">
        <v>42522</v>
      </c>
      <c r="H211">
        <f t="shared" si="12"/>
        <v>0.66695543816125136</v>
      </c>
      <c r="I211">
        <f t="shared" si="13"/>
        <v>0.31695543816125138</v>
      </c>
      <c r="J211">
        <f t="shared" si="14"/>
        <v>0.76342120751210096</v>
      </c>
      <c r="K211">
        <f t="shared" si="15"/>
        <v>-0.26994535871616032</v>
      </c>
    </row>
    <row r="212" spans="1:11" x14ac:dyDescent="0.25">
      <c r="A212" s="1">
        <v>42552</v>
      </c>
      <c r="B212">
        <v>0.52</v>
      </c>
      <c r="G212" s="1">
        <v>42552</v>
      </c>
      <c r="H212">
        <f t="shared" si="12"/>
        <v>0.4124105858526716</v>
      </c>
      <c r="I212">
        <f t="shared" si="13"/>
        <v>-0.10758941414732842</v>
      </c>
      <c r="J212">
        <f t="shared" si="14"/>
        <v>1.1871514346078955</v>
      </c>
      <c r="K212">
        <f t="shared" si="15"/>
        <v>0.17155668508741753</v>
      </c>
    </row>
    <row r="213" spans="1:11" x14ac:dyDescent="0.25">
      <c r="A213" s="1">
        <v>42583</v>
      </c>
      <c r="B213">
        <v>0.44</v>
      </c>
      <c r="G213" s="1">
        <v>42583</v>
      </c>
      <c r="H213">
        <f t="shared" si="12"/>
        <v>0.51304459723048224</v>
      </c>
      <c r="I213">
        <f t="shared" si="13"/>
        <v>7.3044597230482233E-2</v>
      </c>
      <c r="J213">
        <f t="shared" si="14"/>
        <v>1.2245228967118289</v>
      </c>
      <c r="K213">
        <f t="shared" si="15"/>
        <v>0.20255129606076791</v>
      </c>
    </row>
    <row r="214" spans="1:11" x14ac:dyDescent="0.25">
      <c r="A214" s="1">
        <v>42614</v>
      </c>
      <c r="B214">
        <v>0.08</v>
      </c>
      <c r="G214" s="1">
        <v>42614</v>
      </c>
      <c r="H214">
        <f t="shared" si="12"/>
        <v>0.46568741540563019</v>
      </c>
      <c r="I214">
        <f t="shared" si="13"/>
        <v>0.38568741540563017</v>
      </c>
      <c r="J214">
        <f t="shared" si="14"/>
        <v>0.6005996474091656</v>
      </c>
      <c r="K214">
        <f t="shared" si="15"/>
        <v>-0.5098267104974058</v>
      </c>
    </row>
    <row r="215" spans="1:11" x14ac:dyDescent="0.25">
      <c r="A215" s="1">
        <v>42644</v>
      </c>
      <c r="B215">
        <v>0.26</v>
      </c>
      <c r="G215" s="1">
        <v>42644</v>
      </c>
      <c r="H215">
        <f t="shared" si="12"/>
        <v>0.25258009719379598</v>
      </c>
      <c r="I215">
        <f t="shared" si="13"/>
        <v>-7.4199028062040262E-3</v>
      </c>
      <c r="J215">
        <f t="shared" si="14"/>
        <v>1.2570652609648187</v>
      </c>
      <c r="K215">
        <f t="shared" si="15"/>
        <v>0.22877984629129811</v>
      </c>
    </row>
    <row r="216" spans="1:11" x14ac:dyDescent="0.25">
      <c r="A216" s="1">
        <v>42675</v>
      </c>
      <c r="B216">
        <v>0.18</v>
      </c>
      <c r="G216" s="1">
        <v>42675</v>
      </c>
      <c r="H216">
        <f t="shared" si="12"/>
        <v>0.35913375629971311</v>
      </c>
      <c r="I216">
        <f t="shared" si="13"/>
        <v>0.17913375629971312</v>
      </c>
      <c r="J216">
        <f t="shared" si="14"/>
        <v>1.0721484365336356</v>
      </c>
      <c r="K216">
        <f t="shared" si="15"/>
        <v>6.9664519978656539E-2</v>
      </c>
    </row>
    <row r="217" spans="1:11" x14ac:dyDescent="0.25">
      <c r="A217" s="1">
        <v>42705</v>
      </c>
      <c r="B217">
        <v>0.3</v>
      </c>
      <c r="G217" s="1">
        <v>42705</v>
      </c>
      <c r="H217">
        <f t="shared" si="12"/>
        <v>0.31177657447486101</v>
      </c>
      <c r="I217">
        <f t="shared" si="13"/>
        <v>1.1776574474861023E-2</v>
      </c>
      <c r="J217">
        <f t="shared" si="14"/>
        <v>1.2565431757839709</v>
      </c>
      <c r="K217">
        <f t="shared" si="15"/>
        <v>0.22836443935621409</v>
      </c>
    </row>
    <row r="218" spans="1:11" x14ac:dyDescent="0.25">
      <c r="A218" s="1">
        <v>42736</v>
      </c>
      <c r="B218">
        <v>0.38</v>
      </c>
      <c r="G218" s="1">
        <v>42736</v>
      </c>
      <c r="H218">
        <f t="shared" si="12"/>
        <v>0.38281234721213908</v>
      </c>
      <c r="I218">
        <f t="shared" si="13"/>
        <v>2.8123472121390769E-3</v>
      </c>
      <c r="J218">
        <f t="shared" si="14"/>
        <v>1.2573596752148926</v>
      </c>
      <c r="K218">
        <f t="shared" si="15"/>
        <v>0.22901402647873023</v>
      </c>
    </row>
    <row r="219" spans="1:11" x14ac:dyDescent="0.25">
      <c r="A219" s="1">
        <v>42767</v>
      </c>
      <c r="B219">
        <v>0.33</v>
      </c>
      <c r="G219" s="1">
        <v>42767</v>
      </c>
      <c r="H219">
        <f t="shared" si="12"/>
        <v>0.43016952903699113</v>
      </c>
      <c r="I219">
        <f t="shared" si="13"/>
        <v>0.10016952903699111</v>
      </c>
      <c r="J219">
        <f t="shared" si="14"/>
        <v>1.1962764412963947</v>
      </c>
      <c r="K219">
        <f t="shared" si="15"/>
        <v>0.17921376702780778</v>
      </c>
    </row>
    <row r="220" spans="1:11" x14ac:dyDescent="0.25">
      <c r="A220" s="1">
        <v>42795</v>
      </c>
      <c r="B220">
        <v>0.25</v>
      </c>
      <c r="G220" s="1">
        <v>42795</v>
      </c>
      <c r="H220">
        <f t="shared" si="12"/>
        <v>0.40057129039645861</v>
      </c>
      <c r="I220">
        <f t="shared" si="13"/>
        <v>0.15057129039645861</v>
      </c>
      <c r="J220">
        <f t="shared" si="14"/>
        <v>1.1234908271661705</v>
      </c>
      <c r="K220">
        <f t="shared" si="15"/>
        <v>0.11644064809382489</v>
      </c>
    </row>
    <row r="221" spans="1:11" x14ac:dyDescent="0.25">
      <c r="A221" s="1">
        <v>42826</v>
      </c>
      <c r="B221">
        <v>0.14000000000000001</v>
      </c>
      <c r="G221" s="1">
        <v>42826</v>
      </c>
      <c r="H221">
        <f t="shared" si="12"/>
        <v>0.35321410857160657</v>
      </c>
      <c r="I221">
        <f t="shared" si="13"/>
        <v>0.21321410857160655</v>
      </c>
      <c r="J221">
        <f t="shared" si="14"/>
        <v>1.003252936617989</v>
      </c>
      <c r="K221">
        <f t="shared" si="15"/>
        <v>3.2476572655031496E-3</v>
      </c>
    </row>
    <row r="222" spans="1:11" x14ac:dyDescent="0.25">
      <c r="A222" s="1">
        <v>42856</v>
      </c>
      <c r="B222">
        <v>0.31</v>
      </c>
      <c r="G222" s="1">
        <v>42856</v>
      </c>
      <c r="H222">
        <f t="shared" si="12"/>
        <v>0.28809798356243499</v>
      </c>
      <c r="I222">
        <f t="shared" si="13"/>
        <v>-2.1902016437565008E-2</v>
      </c>
      <c r="J222">
        <f t="shared" si="14"/>
        <v>1.2544165892918615</v>
      </c>
      <c r="K222">
        <f t="shared" si="15"/>
        <v>0.22667059540846327</v>
      </c>
    </row>
    <row r="223" spans="1:11" x14ac:dyDescent="0.25">
      <c r="A223" s="1">
        <v>42887</v>
      </c>
      <c r="B223">
        <v>-0.23</v>
      </c>
      <c r="G223" s="1">
        <v>42887</v>
      </c>
      <c r="H223">
        <f t="shared" si="12"/>
        <v>0.38873199494024557</v>
      </c>
      <c r="I223">
        <f t="shared" si="13"/>
        <v>0.61873199494024556</v>
      </c>
      <c r="J223">
        <f t="shared" si="14"/>
        <v>0.1877773200943674</v>
      </c>
      <c r="K223">
        <f t="shared" si="15"/>
        <v>-1.672498485771482</v>
      </c>
    </row>
    <row r="224" spans="1:11" x14ac:dyDescent="0.25">
      <c r="A224" s="1">
        <v>42917</v>
      </c>
      <c r="B224">
        <v>0.24</v>
      </c>
      <c r="G224" s="1">
        <v>42917</v>
      </c>
      <c r="H224">
        <f t="shared" si="12"/>
        <v>6.9071017622494318E-2</v>
      </c>
      <c r="I224">
        <f t="shared" si="13"/>
        <v>-0.17092898237750567</v>
      </c>
      <c r="J224">
        <f t="shared" si="14"/>
        <v>1.0875536966745092</v>
      </c>
      <c r="K224">
        <f t="shared" si="15"/>
        <v>8.3930859014157325E-2</v>
      </c>
    </row>
    <row r="225" spans="1:11" x14ac:dyDescent="0.25">
      <c r="A225" s="1">
        <v>42948</v>
      </c>
      <c r="B225">
        <v>0.19</v>
      </c>
      <c r="G225" s="1">
        <v>42948</v>
      </c>
      <c r="H225">
        <f t="shared" si="12"/>
        <v>0.34729446084350002</v>
      </c>
      <c r="I225">
        <f t="shared" si="13"/>
        <v>0.15729446084350002</v>
      </c>
      <c r="J225">
        <f t="shared" si="14"/>
        <v>1.1119993089995261</v>
      </c>
      <c r="K225">
        <f t="shared" si="15"/>
        <v>0.10615957442489374</v>
      </c>
    </row>
    <row r="226" spans="1:11" x14ac:dyDescent="0.25">
      <c r="A226" s="1">
        <v>42979</v>
      </c>
      <c r="B226">
        <v>0.16</v>
      </c>
      <c r="G226" s="1">
        <v>42979</v>
      </c>
      <c r="H226">
        <f t="shared" si="12"/>
        <v>0.31769622220296756</v>
      </c>
      <c r="I226">
        <f t="shared" si="13"/>
        <v>0.15769622220296756</v>
      </c>
      <c r="J226">
        <f t="shared" si="14"/>
        <v>1.111300534780236</v>
      </c>
      <c r="K226">
        <f t="shared" si="15"/>
        <v>0.10553098242975295</v>
      </c>
    </row>
    <row r="227" spans="1:11" x14ac:dyDescent="0.25">
      <c r="A227" s="1">
        <v>43009</v>
      </c>
      <c r="B227">
        <v>0.42</v>
      </c>
      <c r="G227" s="1">
        <v>43009</v>
      </c>
      <c r="H227">
        <f t="shared" si="12"/>
        <v>0.29993727901864803</v>
      </c>
      <c r="I227">
        <f t="shared" si="13"/>
        <v>-0.12006272098135196</v>
      </c>
      <c r="J227">
        <f t="shared" si="14"/>
        <v>1.1705248337672043</v>
      </c>
      <c r="K227">
        <f t="shared" si="15"/>
        <v>0.15745222409899223</v>
      </c>
    </row>
    <row r="228" spans="1:11" x14ac:dyDescent="0.25">
      <c r="A228" s="1">
        <v>43040</v>
      </c>
      <c r="B228">
        <v>0.28000000000000003</v>
      </c>
      <c r="G228" s="1">
        <v>43040</v>
      </c>
      <c r="H228">
        <f t="shared" si="12"/>
        <v>0.45384811994941715</v>
      </c>
      <c r="I228">
        <f t="shared" si="13"/>
        <v>0.17384811994941712</v>
      </c>
      <c r="J228">
        <f t="shared" si="14"/>
        <v>1.0821305271041546</v>
      </c>
      <c r="K228">
        <f t="shared" si="15"/>
        <v>7.8931808180035659E-2</v>
      </c>
    </row>
    <row r="229" spans="1:11" x14ac:dyDescent="0.25">
      <c r="A229" s="1">
        <v>43070</v>
      </c>
      <c r="B229">
        <v>0.44</v>
      </c>
      <c r="G229" s="1">
        <v>43070</v>
      </c>
      <c r="H229">
        <f t="shared" si="12"/>
        <v>0.3709730517559261</v>
      </c>
      <c r="I229">
        <f t="shared" si="13"/>
        <v>-6.9026948244073905E-2</v>
      </c>
      <c r="J229">
        <f t="shared" si="14"/>
        <v>1.2279995284354421</v>
      </c>
      <c r="K229">
        <f t="shared" si="15"/>
        <v>0.2053864457146507</v>
      </c>
    </row>
    <row r="230" spans="1:11" x14ac:dyDescent="0.25">
      <c r="A230" s="1">
        <v>43101</v>
      </c>
      <c r="B230">
        <v>0.28999999999999998</v>
      </c>
      <c r="G230" s="1">
        <v>43101</v>
      </c>
      <c r="H230">
        <f t="shared" si="12"/>
        <v>0.46568741540563019</v>
      </c>
      <c r="I230">
        <f t="shared" si="13"/>
        <v>0.17568741540563021</v>
      </c>
      <c r="J230">
        <f t="shared" si="14"/>
        <v>1.0786804228338227</v>
      </c>
      <c r="K230">
        <f t="shared" si="15"/>
        <v>7.5738463382994364E-2</v>
      </c>
    </row>
    <row r="231" spans="1:11" x14ac:dyDescent="0.25">
      <c r="A231" s="1">
        <v>43132</v>
      </c>
      <c r="B231">
        <v>0.32</v>
      </c>
      <c r="G231" s="1">
        <v>43132</v>
      </c>
      <c r="H231">
        <f t="shared" si="12"/>
        <v>0.37689269948403259</v>
      </c>
      <c r="I231">
        <f t="shared" si="13"/>
        <v>5.6892699484032583E-2</v>
      </c>
      <c r="J231">
        <f t="shared" si="14"/>
        <v>1.2373548508610213</v>
      </c>
      <c r="K231">
        <f t="shared" si="15"/>
        <v>0.21297591634791818</v>
      </c>
    </row>
    <row r="232" spans="1:11" x14ac:dyDescent="0.25">
      <c r="A232" s="1">
        <v>43160</v>
      </c>
      <c r="B232">
        <v>0.09</v>
      </c>
      <c r="G232" s="1">
        <v>43160</v>
      </c>
      <c r="H232">
        <f t="shared" si="12"/>
        <v>0.39465164266835212</v>
      </c>
      <c r="I232">
        <f t="shared" si="13"/>
        <v>0.3046516426683521</v>
      </c>
      <c r="J232">
        <f t="shared" si="14"/>
        <v>0.79298074360969684</v>
      </c>
      <c r="K232">
        <f t="shared" si="15"/>
        <v>-0.23195634060593731</v>
      </c>
    </row>
    <row r="233" spans="1:11" x14ac:dyDescent="0.25">
      <c r="A233" s="1">
        <v>43191</v>
      </c>
      <c r="B233">
        <v>0.22</v>
      </c>
      <c r="G233" s="1">
        <v>43191</v>
      </c>
      <c r="H233">
        <f t="shared" si="12"/>
        <v>0.25849974492190247</v>
      </c>
      <c r="I233">
        <f t="shared" si="13"/>
        <v>3.8499744921902473E-2</v>
      </c>
      <c r="J233">
        <f t="shared" si="14"/>
        <v>1.2481855464462615</v>
      </c>
      <c r="K233">
        <f t="shared" si="15"/>
        <v>0.22169093393326639</v>
      </c>
    </row>
    <row r="234" spans="1:11" x14ac:dyDescent="0.25">
      <c r="A234" s="1">
        <v>43221</v>
      </c>
      <c r="B234">
        <v>0.4</v>
      </c>
      <c r="G234" s="1">
        <v>43221</v>
      </c>
      <c r="H234">
        <f t="shared" si="12"/>
        <v>0.33545516538728704</v>
      </c>
      <c r="I234">
        <f t="shared" si="13"/>
        <v>-6.4544834612712987E-2</v>
      </c>
      <c r="J234">
        <f t="shared" si="14"/>
        <v>1.2316566964983349</v>
      </c>
      <c r="K234">
        <f t="shared" si="15"/>
        <v>0.20836017084002381</v>
      </c>
    </row>
    <row r="235" spans="1:11" x14ac:dyDescent="0.25">
      <c r="A235" s="1">
        <v>43252</v>
      </c>
      <c r="B235">
        <v>1.26</v>
      </c>
      <c r="G235" s="1">
        <v>43252</v>
      </c>
      <c r="H235">
        <f t="shared" si="12"/>
        <v>0.44200882449320417</v>
      </c>
      <c r="I235">
        <f t="shared" si="13"/>
        <v>-0.8179911755067959</v>
      </c>
      <c r="J235">
        <f t="shared" si="14"/>
        <v>4.5298463554350049E-2</v>
      </c>
      <c r="K235">
        <f t="shared" si="15"/>
        <v>-3.0944821641908629</v>
      </c>
    </row>
    <row r="236" spans="1:11" x14ac:dyDescent="0.25">
      <c r="A236" s="1">
        <v>43282</v>
      </c>
      <c r="B236">
        <v>0.33</v>
      </c>
      <c r="G236" s="1">
        <v>43282</v>
      </c>
      <c r="H236">
        <f t="shared" si="12"/>
        <v>0.95109852911036352</v>
      </c>
      <c r="I236">
        <f t="shared" si="13"/>
        <v>0.62109852911036345</v>
      </c>
      <c r="J236">
        <f t="shared" si="14"/>
        <v>0.18506050290516857</v>
      </c>
      <c r="K236">
        <f t="shared" si="15"/>
        <v>-1.6870724646399882</v>
      </c>
    </row>
    <row r="237" spans="1:11" x14ac:dyDescent="0.25">
      <c r="A237" s="1">
        <v>43313</v>
      </c>
      <c r="B237">
        <v>-0.09</v>
      </c>
      <c r="G237" s="1">
        <v>43313</v>
      </c>
      <c r="H237">
        <f t="shared" si="12"/>
        <v>0.40057129039645861</v>
      </c>
      <c r="I237">
        <f t="shared" si="13"/>
        <v>0.49057129039645864</v>
      </c>
      <c r="J237">
        <f t="shared" si="14"/>
        <v>0.38047675609974502</v>
      </c>
      <c r="K237">
        <f t="shared" si="15"/>
        <v>-0.96633019132623887</v>
      </c>
    </row>
    <row r="238" spans="1:11" x14ac:dyDescent="0.25">
      <c r="A238" s="1">
        <v>43344</v>
      </c>
      <c r="B238">
        <v>0.48</v>
      </c>
      <c r="G238" s="1">
        <v>43344</v>
      </c>
      <c r="H238">
        <f t="shared" si="12"/>
        <v>0.1519460858159854</v>
      </c>
      <c r="I238">
        <f t="shared" si="13"/>
        <v>-0.32805391418401458</v>
      </c>
      <c r="J238">
        <f t="shared" si="14"/>
        <v>0.73675259222395628</v>
      </c>
      <c r="K238">
        <f t="shared" si="15"/>
        <v>-0.30550313891248909</v>
      </c>
    </row>
    <row r="239" spans="1:11" x14ac:dyDescent="0.25">
      <c r="A239" s="1">
        <v>43374</v>
      </c>
      <c r="B239">
        <v>0.45</v>
      </c>
      <c r="G239" s="1">
        <v>43374</v>
      </c>
      <c r="H239">
        <f t="shared" si="12"/>
        <v>0.48936600631805616</v>
      </c>
      <c r="I239">
        <f t="shared" si="13"/>
        <v>3.9366006318056146E-2</v>
      </c>
      <c r="J239">
        <f t="shared" si="14"/>
        <v>1.2477674229522377</v>
      </c>
      <c r="K239">
        <f t="shared" si="15"/>
        <v>0.22135589276617601</v>
      </c>
    </row>
    <row r="240" spans="1:11" x14ac:dyDescent="0.25">
      <c r="A240" s="1">
        <v>43405</v>
      </c>
      <c r="B240">
        <v>-0.21</v>
      </c>
      <c r="G240" s="1">
        <v>43405</v>
      </c>
      <c r="H240">
        <f t="shared" si="12"/>
        <v>0.47160706313373668</v>
      </c>
      <c r="I240">
        <f t="shared" si="13"/>
        <v>0.68160706313373665</v>
      </c>
      <c r="J240">
        <f t="shared" si="14"/>
        <v>0.12510482749470833</v>
      </c>
      <c r="K240">
        <f t="shared" si="15"/>
        <v>-2.0786032731674138</v>
      </c>
    </row>
    <row r="241" spans="1:11" x14ac:dyDescent="0.25">
      <c r="A241" s="1">
        <v>43435</v>
      </c>
      <c r="B241">
        <v>0.15</v>
      </c>
      <c r="G241" s="1">
        <v>43435</v>
      </c>
      <c r="H241">
        <f t="shared" si="12"/>
        <v>8.091031307870733E-2</v>
      </c>
      <c r="I241">
        <f t="shared" si="13"/>
        <v>-6.9089686921292665E-2</v>
      </c>
      <c r="J241">
        <f t="shared" si="14"/>
        <v>1.2279466749744079</v>
      </c>
      <c r="K241">
        <f t="shared" si="15"/>
        <v>0.20534340449414759</v>
      </c>
    </row>
    <row r="242" spans="1:11" x14ac:dyDescent="0.25">
      <c r="A242" s="1">
        <v>43466</v>
      </c>
      <c r="B242">
        <v>0.32</v>
      </c>
      <c r="G242" s="1">
        <v>43466</v>
      </c>
      <c r="H242">
        <f t="shared" si="12"/>
        <v>0.29401763129054148</v>
      </c>
      <c r="I242">
        <f t="shared" si="13"/>
        <v>-2.5982368709458525E-2</v>
      </c>
      <c r="J242">
        <f t="shared" si="14"/>
        <v>1.2531997696618993</v>
      </c>
      <c r="K242">
        <f t="shared" si="15"/>
        <v>0.22570009629593002</v>
      </c>
    </row>
    <row r="243" spans="1:11" x14ac:dyDescent="0.25">
      <c r="A243" s="1">
        <v>43497</v>
      </c>
      <c r="B243">
        <v>0.43</v>
      </c>
      <c r="G243" s="1">
        <v>43497</v>
      </c>
      <c r="H243">
        <f t="shared" si="12"/>
        <v>0.39465164266835212</v>
      </c>
      <c r="I243">
        <f t="shared" si="13"/>
        <v>-3.5348357331647873E-2</v>
      </c>
      <c r="J243">
        <f t="shared" si="14"/>
        <v>1.2496292118289172</v>
      </c>
      <c r="K243">
        <f t="shared" si="15"/>
        <v>0.22284687677380371</v>
      </c>
    </row>
    <row r="244" spans="1:11" x14ac:dyDescent="0.25">
      <c r="A244" s="1">
        <v>43525</v>
      </c>
      <c r="B244">
        <v>0.75</v>
      </c>
      <c r="G244" s="1">
        <v>43525</v>
      </c>
      <c r="H244">
        <f t="shared" si="12"/>
        <v>0.45976776767752364</v>
      </c>
      <c r="I244">
        <f t="shared" si="13"/>
        <v>-0.29023223232247636</v>
      </c>
      <c r="J244">
        <f t="shared" si="14"/>
        <v>0.82749738405266693</v>
      </c>
      <c r="K244">
        <f t="shared" si="15"/>
        <v>-0.18934933300157519</v>
      </c>
    </row>
    <row r="245" spans="1:11" x14ac:dyDescent="0.25">
      <c r="A245" s="1">
        <v>43556</v>
      </c>
      <c r="B245">
        <v>0.56999999999999995</v>
      </c>
      <c r="G245" s="1">
        <v>43556</v>
      </c>
      <c r="H245">
        <f t="shared" si="12"/>
        <v>0.64919649497693177</v>
      </c>
      <c r="I245">
        <f t="shared" si="13"/>
        <v>7.9196494976931819E-2</v>
      </c>
      <c r="J245">
        <f t="shared" si="14"/>
        <v>1.2188395910848679</v>
      </c>
      <c r="K245">
        <f t="shared" si="15"/>
        <v>0.19789925126188346</v>
      </c>
    </row>
    <row r="246" spans="1:11" x14ac:dyDescent="0.25">
      <c r="A246" s="1">
        <v>43586</v>
      </c>
      <c r="B246">
        <v>0.13</v>
      </c>
      <c r="G246" s="1">
        <v>43586</v>
      </c>
      <c r="H246">
        <f t="shared" si="12"/>
        <v>0.54264283587101469</v>
      </c>
      <c r="I246">
        <f t="shared" si="13"/>
        <v>0.41264283587101469</v>
      </c>
      <c r="J246">
        <f t="shared" si="14"/>
        <v>0.53971427954595197</v>
      </c>
      <c r="K246">
        <f t="shared" si="15"/>
        <v>-0.61671539140488285</v>
      </c>
    </row>
    <row r="247" spans="1:11" x14ac:dyDescent="0.25">
      <c r="A247" s="1">
        <v>43617</v>
      </c>
      <c r="B247">
        <v>0.01</v>
      </c>
      <c r="G247" s="1">
        <v>43617</v>
      </c>
      <c r="H247">
        <f t="shared" si="12"/>
        <v>0.2821783358343285</v>
      </c>
      <c r="I247">
        <f t="shared" si="13"/>
        <v>0.27217833583432849</v>
      </c>
      <c r="J247">
        <f t="shared" si="14"/>
        <v>0.87030225986861642</v>
      </c>
      <c r="K247">
        <f t="shared" si="15"/>
        <v>-0.13891470253530469</v>
      </c>
    </row>
    <row r="248" spans="1:11" x14ac:dyDescent="0.25">
      <c r="A248" s="1">
        <v>43647</v>
      </c>
      <c r="B248">
        <v>0.19</v>
      </c>
      <c r="G248" s="1">
        <v>43647</v>
      </c>
      <c r="H248">
        <f t="shared" si="12"/>
        <v>0.21114256309705043</v>
      </c>
      <c r="I248">
        <f t="shared" si="13"/>
        <v>2.1142563097050426E-2</v>
      </c>
      <c r="J248">
        <f t="shared" si="14"/>
        <v>1.2546203086269745</v>
      </c>
      <c r="K248">
        <f t="shared" si="15"/>
        <v>0.22683298388168949</v>
      </c>
    </row>
    <row r="249" spans="1:11" x14ac:dyDescent="0.25">
      <c r="A249" s="1">
        <v>43678</v>
      </c>
      <c r="B249">
        <v>0.11</v>
      </c>
      <c r="G249" s="1">
        <v>43678</v>
      </c>
      <c r="H249">
        <f t="shared" si="12"/>
        <v>0.31769622220296756</v>
      </c>
      <c r="I249">
        <f t="shared" si="13"/>
        <v>0.20769622220296757</v>
      </c>
      <c r="J249">
        <f t="shared" si="14"/>
        <v>1.0148937478638271</v>
      </c>
      <c r="K249">
        <f t="shared" si="15"/>
        <v>1.4783925106657887E-2</v>
      </c>
    </row>
    <row r="250" spans="1:11" x14ac:dyDescent="0.25">
      <c r="A250" s="1">
        <v>43709</v>
      </c>
      <c r="B250">
        <v>-0.04</v>
      </c>
      <c r="G250" s="1">
        <v>43709</v>
      </c>
      <c r="H250">
        <f t="shared" si="12"/>
        <v>0.27033904037811551</v>
      </c>
      <c r="I250">
        <f t="shared" si="13"/>
        <v>0.31033904037811549</v>
      </c>
      <c r="J250">
        <f t="shared" si="14"/>
        <v>0.779322946373596</v>
      </c>
      <c r="K250">
        <f t="shared" si="15"/>
        <v>-0.24932975371355809</v>
      </c>
    </row>
    <row r="251" spans="1:11" x14ac:dyDescent="0.25">
      <c r="A251" s="1">
        <v>43739</v>
      </c>
      <c r="B251">
        <v>0.1</v>
      </c>
      <c r="G251" s="1">
        <v>43739</v>
      </c>
      <c r="H251">
        <f t="shared" si="12"/>
        <v>0.18154432445651791</v>
      </c>
      <c r="I251">
        <f t="shared" si="13"/>
        <v>8.1544324456517908E-2</v>
      </c>
      <c r="J251">
        <f t="shared" si="14"/>
        <v>1.2165569628165203</v>
      </c>
      <c r="K251">
        <f t="shared" si="15"/>
        <v>0.19602470731288715</v>
      </c>
    </row>
    <row r="252" spans="1:11" x14ac:dyDescent="0.25">
      <c r="A252" s="1">
        <v>43770</v>
      </c>
      <c r="B252">
        <v>0.51</v>
      </c>
      <c r="G252" s="1">
        <v>43770</v>
      </c>
      <c r="H252">
        <f t="shared" si="12"/>
        <v>0.26441939265000902</v>
      </c>
      <c r="I252">
        <f t="shared" si="13"/>
        <v>-0.24558060734999099</v>
      </c>
      <c r="J252">
        <f t="shared" si="14"/>
        <v>0.93191670589179998</v>
      </c>
      <c r="K252">
        <f t="shared" si="15"/>
        <v>-7.0511839651133529E-2</v>
      </c>
    </row>
    <row r="253" spans="1:11" x14ac:dyDescent="0.25">
      <c r="A253" s="1">
        <v>43800</v>
      </c>
      <c r="B253">
        <v>1.1499999999999999</v>
      </c>
      <c r="G253" s="1">
        <v>43800</v>
      </c>
      <c r="H253">
        <f t="shared" si="12"/>
        <v>0.50712494950237574</v>
      </c>
      <c r="I253">
        <f t="shared" si="13"/>
        <v>-0.64287505049762417</v>
      </c>
      <c r="J253">
        <f t="shared" si="14"/>
        <v>0.16141250680750016</v>
      </c>
      <c r="K253">
        <f t="shared" si="15"/>
        <v>-1.8237920366348142</v>
      </c>
    </row>
    <row r="254" spans="1:11" x14ac:dyDescent="0.25">
      <c r="A254" s="1">
        <v>43831</v>
      </c>
      <c r="B254">
        <v>0.21</v>
      </c>
      <c r="G254" s="1">
        <v>43831</v>
      </c>
      <c r="H254">
        <f t="shared" si="12"/>
        <v>0.88598240410119189</v>
      </c>
      <c r="I254">
        <f t="shared" si="13"/>
        <v>0.67598240410119192</v>
      </c>
      <c r="J254">
        <f t="shared" si="14"/>
        <v>0.12994102358412274</v>
      </c>
      <c r="K254">
        <f t="shared" si="15"/>
        <v>-2.0406745962010526</v>
      </c>
    </row>
    <row r="255" spans="1:11" x14ac:dyDescent="0.25">
      <c r="A255" s="1">
        <v>43862</v>
      </c>
      <c r="B255">
        <v>0.25</v>
      </c>
      <c r="G255" s="1">
        <v>43862</v>
      </c>
      <c r="H255">
        <f t="shared" si="12"/>
        <v>0.32953551765918054</v>
      </c>
      <c r="I255">
        <f t="shared" si="13"/>
        <v>7.9535517659180544E-2</v>
      </c>
      <c r="J255">
        <f t="shared" si="14"/>
        <v>1.2185138408892551</v>
      </c>
      <c r="K255">
        <f t="shared" si="15"/>
        <v>0.19763195297573496</v>
      </c>
    </row>
    <row r="256" spans="1:11" x14ac:dyDescent="0.25">
      <c r="A256" s="1">
        <v>43891</v>
      </c>
      <c r="B256">
        <v>7.0000000000000007E-2</v>
      </c>
      <c r="G256" s="1">
        <v>43891</v>
      </c>
      <c r="H256">
        <f t="shared" si="12"/>
        <v>0.35321410857160657</v>
      </c>
      <c r="I256">
        <f t="shared" si="13"/>
        <v>0.28321410857160656</v>
      </c>
      <c r="J256">
        <f t="shared" si="14"/>
        <v>0.84420579295253706</v>
      </c>
      <c r="K256">
        <f t="shared" si="15"/>
        <v>-0.16935898359552337</v>
      </c>
    </row>
    <row r="257" spans="1:11" x14ac:dyDescent="0.25">
      <c r="A257" s="1">
        <v>43922</v>
      </c>
      <c r="B257">
        <v>-0.31</v>
      </c>
      <c r="G257" s="1">
        <v>43922</v>
      </c>
      <c r="H257">
        <f t="shared" si="12"/>
        <v>0.24666044946568949</v>
      </c>
      <c r="I257">
        <f t="shared" si="13"/>
        <v>0.55666044946568949</v>
      </c>
      <c r="J257">
        <f t="shared" si="14"/>
        <v>0.26979129937478896</v>
      </c>
      <c r="K257">
        <f t="shared" si="15"/>
        <v>-1.3101065841540145</v>
      </c>
    </row>
    <row r="258" spans="1:11" x14ac:dyDescent="0.25">
      <c r="A258" s="1">
        <v>43952</v>
      </c>
      <c r="B258">
        <v>-0.38</v>
      </c>
      <c r="G258" s="1">
        <v>43952</v>
      </c>
      <c r="H258">
        <f t="shared" si="12"/>
        <v>2.1713835797642272E-2</v>
      </c>
      <c r="I258">
        <f t="shared" si="13"/>
        <v>0.4017138357976423</v>
      </c>
      <c r="J258">
        <f t="shared" si="14"/>
        <v>0.56410906290829632</v>
      </c>
      <c r="K258">
        <f t="shared" si="15"/>
        <v>-0.57250767222753063</v>
      </c>
    </row>
    <row r="259" spans="1:11" x14ac:dyDescent="0.25">
      <c r="A259" s="1">
        <v>43983</v>
      </c>
      <c r="B259">
        <v>0.26</v>
      </c>
      <c r="G259" s="1">
        <v>43983</v>
      </c>
      <c r="H259">
        <f t="shared" si="12"/>
        <v>-1.9723698299103254E-2</v>
      </c>
      <c r="I259">
        <f t="shared" si="13"/>
        <v>-0.27972369829910326</v>
      </c>
      <c r="J259">
        <f t="shared" si="14"/>
        <v>0.85248525621020466</v>
      </c>
      <c r="K259">
        <f t="shared" si="15"/>
        <v>-0.15959936474210981</v>
      </c>
    </row>
    <row r="260" spans="1:11" x14ac:dyDescent="0.25">
      <c r="A260" s="1">
        <v>44013</v>
      </c>
      <c r="B260">
        <v>0.36</v>
      </c>
      <c r="G260" s="1">
        <v>44013</v>
      </c>
      <c r="H260">
        <f t="shared" ref="H260:H323" si="16">$E$4+$E$5*B259</f>
        <v>0.35913375629971311</v>
      </c>
      <c r="I260">
        <f t="shared" ref="I260:I323" si="17">H260-B260</f>
        <v>-8.6624370028687281E-4</v>
      </c>
      <c r="J260">
        <f t="shared" ref="J260:J323" si="18">_xlfn.NORM.DIST(I260,$E$7,$E$8,0)</f>
        <v>1.2574043852505254</v>
      </c>
      <c r="K260">
        <f t="shared" ref="K260:K323" si="19">LN(J260)</f>
        <v>0.22904958451484225</v>
      </c>
    </row>
    <row r="261" spans="1:11" x14ac:dyDescent="0.25">
      <c r="A261" s="1">
        <v>44044</v>
      </c>
      <c r="B261">
        <v>0.24</v>
      </c>
      <c r="G261" s="1">
        <v>44044</v>
      </c>
      <c r="H261">
        <f t="shared" si="16"/>
        <v>0.41833023358077814</v>
      </c>
      <c r="I261">
        <f t="shared" si="17"/>
        <v>0.17833023358077815</v>
      </c>
      <c r="J261">
        <f t="shared" si="18"/>
        <v>1.0736791651435731</v>
      </c>
      <c r="K261">
        <f t="shared" si="19"/>
        <v>7.1091222541703442E-2</v>
      </c>
    </row>
    <row r="262" spans="1:11" x14ac:dyDescent="0.25">
      <c r="A262" s="1">
        <v>44075</v>
      </c>
      <c r="B262">
        <v>0.64</v>
      </c>
      <c r="G262" s="1">
        <v>44075</v>
      </c>
      <c r="H262">
        <f t="shared" si="16"/>
        <v>0.34729446084350002</v>
      </c>
      <c r="I262">
        <f t="shared" si="17"/>
        <v>-0.29270553915649999</v>
      </c>
      <c r="J262">
        <f t="shared" si="18"/>
        <v>0.82159244053182523</v>
      </c>
      <c r="K262">
        <f t="shared" si="19"/>
        <v>-0.19651082132074862</v>
      </c>
    </row>
    <row r="263" spans="1:11" x14ac:dyDescent="0.25">
      <c r="A263" s="1">
        <v>44105</v>
      </c>
      <c r="B263">
        <v>0.86</v>
      </c>
      <c r="G263" s="1">
        <v>44105</v>
      </c>
      <c r="H263">
        <f t="shared" si="16"/>
        <v>0.58408036996776036</v>
      </c>
      <c r="I263">
        <f t="shared" si="17"/>
        <v>-0.27591963003223963</v>
      </c>
      <c r="J263">
        <f t="shared" si="18"/>
        <v>0.86148263904946831</v>
      </c>
      <c r="K263">
        <f t="shared" si="19"/>
        <v>-0.14910037522014577</v>
      </c>
    </row>
    <row r="264" spans="1:11" x14ac:dyDescent="0.25">
      <c r="A264" s="1">
        <v>44136</v>
      </c>
      <c r="B264">
        <v>0.89</v>
      </c>
      <c r="G264" s="1">
        <v>44136</v>
      </c>
      <c r="H264">
        <f t="shared" si="16"/>
        <v>0.7143126199861034</v>
      </c>
      <c r="I264">
        <f t="shared" si="17"/>
        <v>-0.17568738001389661</v>
      </c>
      <c r="J264">
        <f t="shared" si="18"/>
        <v>1.0786803821992423</v>
      </c>
      <c r="K264">
        <f t="shared" si="19"/>
        <v>7.5738425712355062E-2</v>
      </c>
    </row>
    <row r="265" spans="1:11" x14ac:dyDescent="0.25">
      <c r="A265" s="1">
        <v>44166</v>
      </c>
      <c r="B265">
        <v>1.35</v>
      </c>
      <c r="G265" s="1">
        <v>44166</v>
      </c>
      <c r="H265">
        <f t="shared" si="16"/>
        <v>0.73207156317042288</v>
      </c>
      <c r="I265">
        <f t="shared" si="17"/>
        <v>-0.61792843682957721</v>
      </c>
      <c r="J265">
        <f t="shared" si="18"/>
        <v>0.18870640486445539</v>
      </c>
      <c r="K265">
        <f t="shared" si="19"/>
        <v>-1.6675628851356625</v>
      </c>
    </row>
    <row r="266" spans="1:11" x14ac:dyDescent="0.25">
      <c r="A266" s="1">
        <v>44197</v>
      </c>
      <c r="B266">
        <v>0.25</v>
      </c>
      <c r="G266" s="1">
        <v>44197</v>
      </c>
      <c r="H266">
        <f t="shared" si="16"/>
        <v>1.0043753586633222</v>
      </c>
      <c r="I266">
        <f t="shared" si="17"/>
        <v>0.75437535866332217</v>
      </c>
      <c r="J266">
        <f t="shared" si="18"/>
        <v>7.4449402649394744E-2</v>
      </c>
      <c r="K266">
        <f t="shared" si="19"/>
        <v>-2.597635543398146</v>
      </c>
    </row>
    <row r="267" spans="1:11" x14ac:dyDescent="0.25">
      <c r="A267" s="1">
        <v>44228</v>
      </c>
      <c r="B267">
        <v>0.86</v>
      </c>
      <c r="G267" s="1">
        <v>44228</v>
      </c>
      <c r="H267">
        <f t="shared" si="16"/>
        <v>0.35321410857160657</v>
      </c>
      <c r="I267">
        <f t="shared" si="17"/>
        <v>-0.50678589142839336</v>
      </c>
      <c r="J267">
        <f t="shared" si="18"/>
        <v>0.35110948032765937</v>
      </c>
      <c r="K267">
        <f t="shared" si="19"/>
        <v>-1.0466571943845981</v>
      </c>
    </row>
    <row r="268" spans="1:11" x14ac:dyDescent="0.25">
      <c r="A268" s="1">
        <v>44256</v>
      </c>
      <c r="B268">
        <v>0.93</v>
      </c>
      <c r="G268" s="1">
        <v>44256</v>
      </c>
      <c r="H268">
        <f t="shared" si="16"/>
        <v>0.7143126199861034</v>
      </c>
      <c r="I268">
        <f t="shared" si="17"/>
        <v>-0.21568738001389665</v>
      </c>
      <c r="J268">
        <f t="shared" si="18"/>
        <v>0.99798052694155137</v>
      </c>
      <c r="K268">
        <f t="shared" si="19"/>
        <v>-2.0215149436500941E-3</v>
      </c>
    </row>
    <row r="269" spans="1:11" x14ac:dyDescent="0.25">
      <c r="A269" s="1">
        <v>44287</v>
      </c>
      <c r="B269">
        <v>0.31</v>
      </c>
      <c r="G269" s="1">
        <v>44287</v>
      </c>
      <c r="H269">
        <f t="shared" si="16"/>
        <v>0.75575015408284885</v>
      </c>
      <c r="I269">
        <f t="shared" si="17"/>
        <v>0.44575015408284885</v>
      </c>
      <c r="J269">
        <f t="shared" si="18"/>
        <v>0.4686608570273133</v>
      </c>
      <c r="K269">
        <f t="shared" si="19"/>
        <v>-0.75787589145750733</v>
      </c>
    </row>
    <row r="270" spans="1:11" x14ac:dyDescent="0.25">
      <c r="A270" s="1">
        <v>44317</v>
      </c>
      <c r="B270">
        <v>0.83</v>
      </c>
      <c r="G270" s="1">
        <v>44317</v>
      </c>
      <c r="H270">
        <f t="shared" si="16"/>
        <v>0.38873199494024557</v>
      </c>
      <c r="I270">
        <f t="shared" si="17"/>
        <v>-0.44126800505975439</v>
      </c>
      <c r="J270">
        <f t="shared" si="18"/>
        <v>0.47800781370021422</v>
      </c>
      <c r="K270">
        <f t="shared" si="19"/>
        <v>-0.73812819997111834</v>
      </c>
    </row>
    <row r="271" spans="1:11" x14ac:dyDescent="0.25">
      <c r="A271" s="1">
        <v>44348</v>
      </c>
      <c r="B271">
        <v>0.53</v>
      </c>
      <c r="G271" s="1">
        <v>44348</v>
      </c>
      <c r="H271">
        <f t="shared" si="16"/>
        <v>0.69655367680178382</v>
      </c>
      <c r="I271">
        <f t="shared" si="17"/>
        <v>0.16655367680178379</v>
      </c>
      <c r="J271">
        <f t="shared" si="18"/>
        <v>1.0955596471832583</v>
      </c>
      <c r="K271">
        <f t="shared" si="19"/>
        <v>9.1265326022803281E-2</v>
      </c>
    </row>
    <row r="272" spans="1:11" x14ac:dyDescent="0.25">
      <c r="A272" s="1">
        <v>44378</v>
      </c>
      <c r="B272">
        <v>0.96</v>
      </c>
      <c r="G272" s="1">
        <v>44378</v>
      </c>
      <c r="H272">
        <f t="shared" si="16"/>
        <v>0.51896424495858873</v>
      </c>
      <c r="I272">
        <f t="shared" si="17"/>
        <v>-0.44103575504141124</v>
      </c>
      <c r="J272">
        <f t="shared" si="18"/>
        <v>0.47849459400812389</v>
      </c>
      <c r="K272">
        <f t="shared" si="19"/>
        <v>-0.73711036594161339</v>
      </c>
    </row>
    <row r="273" spans="1:11" x14ac:dyDescent="0.25">
      <c r="A273" s="1">
        <v>44409</v>
      </c>
      <c r="B273">
        <v>0.87</v>
      </c>
      <c r="G273" s="1">
        <v>44409</v>
      </c>
      <c r="H273">
        <f t="shared" si="16"/>
        <v>0.77350909726716832</v>
      </c>
      <c r="I273">
        <f t="shared" si="17"/>
        <v>-9.6490902732831674E-2</v>
      </c>
      <c r="J273">
        <f t="shared" si="18"/>
        <v>1.2005828084489847</v>
      </c>
      <c r="K273">
        <f t="shared" si="19"/>
        <v>0.18280711260013963</v>
      </c>
    </row>
    <row r="274" spans="1:11" x14ac:dyDescent="0.25">
      <c r="A274" s="1">
        <v>44440</v>
      </c>
      <c r="B274">
        <v>1.1599999999999999</v>
      </c>
      <c r="G274" s="1">
        <v>44440</v>
      </c>
      <c r="H274">
        <f t="shared" si="16"/>
        <v>0.7202322677142099</v>
      </c>
      <c r="I274">
        <f t="shared" si="17"/>
        <v>-0.43976773228579003</v>
      </c>
      <c r="J274">
        <f t="shared" si="18"/>
        <v>0.48115649196004839</v>
      </c>
      <c r="K274">
        <f t="shared" si="19"/>
        <v>-0.73156271467998257</v>
      </c>
    </row>
    <row r="275" spans="1:11" x14ac:dyDescent="0.25">
      <c r="A275" s="1">
        <v>44470</v>
      </c>
      <c r="B275">
        <v>1.25</v>
      </c>
      <c r="G275" s="1">
        <v>44470</v>
      </c>
      <c r="H275">
        <f t="shared" si="16"/>
        <v>0.89190205182929838</v>
      </c>
      <c r="I275">
        <f t="shared" si="17"/>
        <v>-0.35809794817070162</v>
      </c>
      <c r="J275">
        <f t="shared" si="18"/>
        <v>0.66504617425684365</v>
      </c>
      <c r="K275">
        <f t="shared" si="19"/>
        <v>-0.40789880576408183</v>
      </c>
    </row>
    <row r="276" spans="1:11" x14ac:dyDescent="0.25">
      <c r="A276" s="1">
        <v>44501</v>
      </c>
      <c r="B276">
        <v>0.95</v>
      </c>
      <c r="G276" s="1">
        <v>44501</v>
      </c>
      <c r="H276">
        <f t="shared" si="16"/>
        <v>0.94517888138225703</v>
      </c>
      <c r="I276">
        <f t="shared" si="17"/>
        <v>-4.8211186177429255E-3</v>
      </c>
      <c r="J276">
        <f t="shared" si="18"/>
        <v>1.2572639093706492</v>
      </c>
      <c r="K276">
        <f t="shared" si="19"/>
        <v>0.22893785933794888</v>
      </c>
    </row>
    <row r="277" spans="1:11" x14ac:dyDescent="0.25">
      <c r="A277" s="1">
        <v>44531</v>
      </c>
      <c r="B277">
        <v>0.73</v>
      </c>
      <c r="G277" s="1">
        <v>44531</v>
      </c>
      <c r="H277">
        <f t="shared" si="16"/>
        <v>0.76758944953906183</v>
      </c>
      <c r="I277">
        <f t="shared" si="17"/>
        <v>3.7589449539061848E-2</v>
      </c>
      <c r="J277">
        <f t="shared" si="18"/>
        <v>1.2486150452032583</v>
      </c>
      <c r="K277">
        <f t="shared" si="19"/>
        <v>0.22203497323113397</v>
      </c>
    </row>
    <row r="278" spans="1:11" x14ac:dyDescent="0.25">
      <c r="A278" s="1">
        <v>44562</v>
      </c>
      <c r="B278">
        <v>0.54</v>
      </c>
      <c r="G278" s="1">
        <v>44562</v>
      </c>
      <c r="H278">
        <f t="shared" si="16"/>
        <v>0.63735719952071879</v>
      </c>
      <c r="I278">
        <f t="shared" si="17"/>
        <v>9.7357199520718751E-2</v>
      </c>
      <c r="J278">
        <f t="shared" si="18"/>
        <v>1.1995818552728108</v>
      </c>
      <c r="K278">
        <f t="shared" si="19"/>
        <v>0.1819730421304496</v>
      </c>
    </row>
    <row r="279" spans="1:11" x14ac:dyDescent="0.25">
      <c r="A279" s="1">
        <v>44593</v>
      </c>
      <c r="B279">
        <v>1.01</v>
      </c>
      <c r="G279" s="1">
        <v>44593</v>
      </c>
      <c r="H279">
        <f t="shared" si="16"/>
        <v>0.52488389268669522</v>
      </c>
      <c r="I279">
        <f t="shared" si="17"/>
        <v>-0.48511610731330479</v>
      </c>
      <c r="J279">
        <f t="shared" si="18"/>
        <v>0.39066971153625923</v>
      </c>
      <c r="K279">
        <f t="shared" si="19"/>
        <v>-0.93989280350886883</v>
      </c>
    </row>
    <row r="280" spans="1:11" x14ac:dyDescent="0.25">
      <c r="A280" s="1">
        <v>44621</v>
      </c>
      <c r="B280">
        <v>1.62</v>
      </c>
      <c r="G280" s="1">
        <v>44621</v>
      </c>
      <c r="H280">
        <f t="shared" si="16"/>
        <v>0.803107335907701</v>
      </c>
      <c r="I280">
        <f t="shared" si="17"/>
        <v>-0.8168926640922991</v>
      </c>
      <c r="J280">
        <f t="shared" si="18"/>
        <v>4.5704361206493016E-2</v>
      </c>
      <c r="K280">
        <f t="shared" si="19"/>
        <v>-3.0855615544209574</v>
      </c>
    </row>
    <row r="281" spans="1:11" x14ac:dyDescent="0.25">
      <c r="A281" s="1">
        <v>44652</v>
      </c>
      <c r="B281">
        <v>1.06</v>
      </c>
      <c r="G281" s="1">
        <v>44652</v>
      </c>
      <c r="H281">
        <f t="shared" si="16"/>
        <v>1.1642058473221979</v>
      </c>
      <c r="I281">
        <f t="shared" si="17"/>
        <v>0.10420584732219784</v>
      </c>
      <c r="J281">
        <f t="shared" si="18"/>
        <v>1.1913847504386681</v>
      </c>
      <c r="K281">
        <f t="shared" si="19"/>
        <v>0.17511628643158075</v>
      </c>
    </row>
    <row r="282" spans="1:11" x14ac:dyDescent="0.25">
      <c r="A282" s="1">
        <v>44682</v>
      </c>
      <c r="B282">
        <v>0.47</v>
      </c>
      <c r="G282" s="1">
        <v>44682</v>
      </c>
      <c r="H282">
        <f t="shared" si="16"/>
        <v>0.83270557454823346</v>
      </c>
      <c r="I282">
        <f t="shared" si="17"/>
        <v>0.36270557454823349</v>
      </c>
      <c r="J282">
        <f t="shared" si="18"/>
        <v>0.65416523485012212</v>
      </c>
      <c r="K282">
        <f t="shared" si="19"/>
        <v>-0.42439530676022313</v>
      </c>
    </row>
    <row r="283" spans="1:11" x14ac:dyDescent="0.25">
      <c r="A283" s="1">
        <v>44713</v>
      </c>
      <c r="B283">
        <v>0.67</v>
      </c>
      <c r="G283" s="1">
        <v>44713</v>
      </c>
      <c r="H283">
        <f t="shared" si="16"/>
        <v>0.48344635858994967</v>
      </c>
      <c r="I283">
        <f t="shared" si="17"/>
        <v>-0.18655364141005037</v>
      </c>
      <c r="J283">
        <f t="shared" si="18"/>
        <v>1.0577953555805026</v>
      </c>
      <c r="K283">
        <f t="shared" si="19"/>
        <v>5.6186888999625852E-2</v>
      </c>
    </row>
    <row r="284" spans="1:11" x14ac:dyDescent="0.25">
      <c r="A284" s="1">
        <v>44743</v>
      </c>
      <c r="B284">
        <v>-0.68</v>
      </c>
      <c r="G284" s="1">
        <v>44743</v>
      </c>
      <c r="H284">
        <f t="shared" si="16"/>
        <v>0.60183931315207984</v>
      </c>
      <c r="I284">
        <f t="shared" si="17"/>
        <v>1.28183931315208</v>
      </c>
      <c r="J284">
        <f t="shared" si="18"/>
        <v>3.5890571141578432E-4</v>
      </c>
      <c r="K284">
        <f t="shared" si="19"/>
        <v>-7.9324508462683889</v>
      </c>
    </row>
    <row r="285" spans="1:11" x14ac:dyDescent="0.25">
      <c r="A285" s="1">
        <v>44774</v>
      </c>
      <c r="B285">
        <v>-0.36</v>
      </c>
      <c r="G285" s="1">
        <v>44774</v>
      </c>
      <c r="H285">
        <f t="shared" si="16"/>
        <v>-0.19731313014229845</v>
      </c>
      <c r="I285">
        <f t="shared" si="17"/>
        <v>0.16268686985770153</v>
      </c>
      <c r="J285">
        <f t="shared" si="18"/>
        <v>1.102509549454741</v>
      </c>
      <c r="K285">
        <f t="shared" si="19"/>
        <v>9.7588989938305531E-2</v>
      </c>
    </row>
    <row r="286" spans="1:11" x14ac:dyDescent="0.25">
      <c r="A286" s="1">
        <v>44805</v>
      </c>
      <c r="B286">
        <v>-0.28999999999999998</v>
      </c>
      <c r="G286" s="1">
        <v>44805</v>
      </c>
      <c r="H286">
        <f t="shared" si="16"/>
        <v>-7.8844028428902424E-3</v>
      </c>
      <c r="I286">
        <f t="shared" si="17"/>
        <v>0.28211559715710977</v>
      </c>
      <c r="J286">
        <f t="shared" si="18"/>
        <v>0.846813913838521</v>
      </c>
      <c r="K286">
        <f t="shared" si="19"/>
        <v>-0.16627430877644284</v>
      </c>
    </row>
    <row r="287" spans="1:11" x14ac:dyDescent="0.25">
      <c r="A287" s="1">
        <v>44835</v>
      </c>
      <c r="B287">
        <v>0.59</v>
      </c>
      <c r="G287" s="1">
        <v>44835</v>
      </c>
      <c r="H287">
        <f t="shared" si="16"/>
        <v>3.3553131253855312E-2</v>
      </c>
      <c r="I287">
        <f t="shared" si="17"/>
        <v>-0.55644686874614468</v>
      </c>
      <c r="J287">
        <f t="shared" si="18"/>
        <v>0.27010999095142524</v>
      </c>
      <c r="K287">
        <f t="shared" si="19"/>
        <v>-1.3089260290438114</v>
      </c>
    </row>
    <row r="288" spans="1:11" x14ac:dyDescent="0.25">
      <c r="A288" s="1">
        <v>44866</v>
      </c>
      <c r="B288">
        <v>0.41</v>
      </c>
      <c r="G288" s="1">
        <v>44866</v>
      </c>
      <c r="H288">
        <f t="shared" si="16"/>
        <v>0.55448213132722768</v>
      </c>
      <c r="I288">
        <f t="shared" si="17"/>
        <v>0.1444821313272277</v>
      </c>
      <c r="J288">
        <f t="shared" si="18"/>
        <v>1.1335617610041582</v>
      </c>
      <c r="K288">
        <f t="shared" si="19"/>
        <v>0.12536467647196067</v>
      </c>
    </row>
    <row r="289" spans="1:11" x14ac:dyDescent="0.25">
      <c r="A289" s="1">
        <v>44896</v>
      </c>
      <c r="B289">
        <v>0.62</v>
      </c>
      <c r="G289" s="1">
        <v>44896</v>
      </c>
      <c r="H289">
        <f t="shared" si="16"/>
        <v>0.4479284722213106</v>
      </c>
      <c r="I289">
        <f t="shared" si="17"/>
        <v>-0.17207152777868939</v>
      </c>
      <c r="J289">
        <f t="shared" si="18"/>
        <v>1.0854387499099267</v>
      </c>
      <c r="K289">
        <f t="shared" si="19"/>
        <v>8.1984283050923729E-2</v>
      </c>
    </row>
    <row r="290" spans="1:11" x14ac:dyDescent="0.25">
      <c r="A290" s="1">
        <v>44927</v>
      </c>
      <c r="B290">
        <v>0.53</v>
      </c>
      <c r="G290" s="1">
        <v>44927</v>
      </c>
      <c r="H290">
        <f t="shared" si="16"/>
        <v>0.57224107451154727</v>
      </c>
      <c r="I290">
        <f t="shared" si="17"/>
        <v>4.2241074511547239E-2</v>
      </c>
      <c r="J290">
        <f t="shared" si="18"/>
        <v>1.2463141093335137</v>
      </c>
      <c r="K290">
        <f t="shared" si="19"/>
        <v>0.22019048276301495</v>
      </c>
    </row>
    <row r="291" spans="1:11" x14ac:dyDescent="0.25">
      <c r="A291" s="1">
        <v>44958</v>
      </c>
      <c r="B291">
        <v>0.84</v>
      </c>
      <c r="G291" s="1">
        <v>44958</v>
      </c>
      <c r="H291">
        <f t="shared" si="16"/>
        <v>0.51896424495858873</v>
      </c>
      <c r="I291">
        <f t="shared" si="17"/>
        <v>-0.32103575504141124</v>
      </c>
      <c r="J291">
        <f t="shared" si="18"/>
        <v>0.75361328333522404</v>
      </c>
      <c r="K291">
        <f t="shared" si="19"/>
        <v>-0.28287592936892747</v>
      </c>
    </row>
    <row r="292" spans="1:11" x14ac:dyDescent="0.25">
      <c r="A292" s="1">
        <v>44986</v>
      </c>
      <c r="B292">
        <v>0.71</v>
      </c>
      <c r="G292" s="1">
        <v>44986</v>
      </c>
      <c r="H292">
        <f t="shared" si="16"/>
        <v>0.70247332452989042</v>
      </c>
      <c r="I292">
        <f t="shared" si="17"/>
        <v>-7.5266754701095451E-3</v>
      </c>
      <c r="J292">
        <f t="shared" si="18"/>
        <v>1.2570552963005788</v>
      </c>
      <c r="K292">
        <f t="shared" si="19"/>
        <v>0.22877191933313276</v>
      </c>
    </row>
    <row r="293" spans="1:11" x14ac:dyDescent="0.25">
      <c r="A293" s="1">
        <v>45017</v>
      </c>
      <c r="B293">
        <v>0.61</v>
      </c>
      <c r="G293" s="1">
        <v>45017</v>
      </c>
      <c r="H293">
        <f t="shared" si="16"/>
        <v>0.6255179040645058</v>
      </c>
      <c r="I293">
        <f t="shared" si="17"/>
        <v>1.5517904064505816E-2</v>
      </c>
      <c r="J293">
        <f t="shared" si="18"/>
        <v>1.255905983962708</v>
      </c>
      <c r="K293">
        <f t="shared" si="19"/>
        <v>0.22785721171146567</v>
      </c>
    </row>
    <row r="294" spans="1:11" x14ac:dyDescent="0.25">
      <c r="A294" s="1">
        <v>45047</v>
      </c>
      <c r="B294">
        <v>0.23</v>
      </c>
      <c r="G294" s="1">
        <v>45047</v>
      </c>
      <c r="H294">
        <f t="shared" si="16"/>
        <v>0.56632142678344066</v>
      </c>
      <c r="I294">
        <f t="shared" si="17"/>
        <v>0.33632142678344068</v>
      </c>
      <c r="J294">
        <f t="shared" si="18"/>
        <v>0.71692366618010517</v>
      </c>
      <c r="K294">
        <f t="shared" si="19"/>
        <v>-0.33278590683933529</v>
      </c>
    </row>
    <row r="295" spans="1:11" x14ac:dyDescent="0.25">
      <c r="A295" s="1">
        <v>45078</v>
      </c>
      <c r="B295">
        <v>-0.08</v>
      </c>
      <c r="G295" s="1">
        <v>45078</v>
      </c>
      <c r="H295">
        <f t="shared" si="16"/>
        <v>0.34137481311539353</v>
      </c>
      <c r="I295">
        <f t="shared" si="17"/>
        <v>0.42137481311539354</v>
      </c>
      <c r="J295">
        <f t="shared" si="18"/>
        <v>0.52053980535322641</v>
      </c>
      <c r="K295">
        <f t="shared" si="19"/>
        <v>-0.65288891862885723</v>
      </c>
    </row>
    <row r="296" spans="1:11" x14ac:dyDescent="0.25">
      <c r="A296" s="1">
        <v>45108</v>
      </c>
      <c r="B296">
        <v>0.12</v>
      </c>
      <c r="G296" s="1">
        <v>45108</v>
      </c>
      <c r="H296">
        <f t="shared" si="16"/>
        <v>0.15786573354409189</v>
      </c>
      <c r="I296">
        <f t="shared" si="17"/>
        <v>3.7865733544091895E-2</v>
      </c>
      <c r="J296">
        <f t="shared" si="18"/>
        <v>1.2484857585711848</v>
      </c>
      <c r="K296">
        <f t="shared" si="19"/>
        <v>0.22193142384138281</v>
      </c>
    </row>
    <row r="297" spans="1:11" x14ac:dyDescent="0.25">
      <c r="A297" s="1">
        <v>45139</v>
      </c>
      <c r="B297">
        <v>0.23</v>
      </c>
      <c r="G297" s="1">
        <v>45139</v>
      </c>
      <c r="H297">
        <f t="shared" si="16"/>
        <v>0.27625868810622201</v>
      </c>
      <c r="I297">
        <f t="shared" si="17"/>
        <v>4.6258688106221996E-2</v>
      </c>
      <c r="J297">
        <f t="shared" si="18"/>
        <v>1.2441149479085747</v>
      </c>
      <c r="K297">
        <f t="shared" si="19"/>
        <v>0.21842439190396662</v>
      </c>
    </row>
    <row r="298" spans="1:11" x14ac:dyDescent="0.25">
      <c r="A298" s="1">
        <v>45170</v>
      </c>
      <c r="B298">
        <v>0.26</v>
      </c>
      <c r="G298" s="1">
        <v>45170</v>
      </c>
      <c r="H298">
        <f t="shared" si="16"/>
        <v>0.34137481311539353</v>
      </c>
      <c r="I298">
        <f t="shared" si="17"/>
        <v>8.1374813115393518E-2</v>
      </c>
      <c r="J298">
        <f t="shared" si="18"/>
        <v>1.2167238550005903</v>
      </c>
      <c r="K298">
        <f t="shared" si="19"/>
        <v>0.19616188193170611</v>
      </c>
    </row>
    <row r="299" spans="1:11" x14ac:dyDescent="0.25">
      <c r="A299" s="1">
        <v>45200</v>
      </c>
      <c r="B299">
        <v>0.24</v>
      </c>
      <c r="G299" s="1">
        <v>45200</v>
      </c>
      <c r="H299">
        <f t="shared" si="16"/>
        <v>0.35913375629971311</v>
      </c>
      <c r="I299">
        <f t="shared" si="17"/>
        <v>0.11913375629971312</v>
      </c>
      <c r="J299">
        <f t="shared" si="18"/>
        <v>1.1718175523947307</v>
      </c>
      <c r="K299">
        <f t="shared" si="19"/>
        <v>0.15855600701852676</v>
      </c>
    </row>
    <row r="300" spans="1:11" x14ac:dyDescent="0.25">
      <c r="A300" s="1">
        <v>45231</v>
      </c>
      <c r="B300">
        <v>0.28000000000000003</v>
      </c>
      <c r="G300" s="1">
        <v>45231</v>
      </c>
      <c r="H300">
        <f t="shared" si="16"/>
        <v>0.34729446084350002</v>
      </c>
      <c r="I300">
        <f t="shared" si="17"/>
        <v>6.7294460843499992E-2</v>
      </c>
      <c r="J300">
        <f t="shared" si="18"/>
        <v>1.2294409946086358</v>
      </c>
      <c r="K300">
        <f t="shared" si="19"/>
        <v>0.20655959015090208</v>
      </c>
    </row>
    <row r="301" spans="1:11" x14ac:dyDescent="0.25">
      <c r="A301" s="1">
        <v>45261</v>
      </c>
      <c r="B301">
        <v>0.56000000000000005</v>
      </c>
      <c r="G301" s="1">
        <v>45261</v>
      </c>
      <c r="H301">
        <f t="shared" si="16"/>
        <v>0.3709730517559261</v>
      </c>
      <c r="I301">
        <f t="shared" si="17"/>
        <v>-0.18902694824407396</v>
      </c>
      <c r="J301">
        <f t="shared" si="18"/>
        <v>1.0529258556635122</v>
      </c>
      <c r="K301">
        <f t="shared" si="19"/>
        <v>5.157281819746664E-2</v>
      </c>
    </row>
    <row r="302" spans="1:11" x14ac:dyDescent="0.25">
      <c r="A302" s="1">
        <v>45292</v>
      </c>
      <c r="B302">
        <v>0.42</v>
      </c>
      <c r="G302" s="1">
        <v>45292</v>
      </c>
      <c r="H302">
        <f t="shared" si="16"/>
        <v>0.5367231881429082</v>
      </c>
      <c r="I302">
        <f t="shared" si="17"/>
        <v>0.11672318814290822</v>
      </c>
      <c r="J302">
        <f t="shared" si="18"/>
        <v>1.1751314905997872</v>
      </c>
      <c r="K302">
        <f t="shared" si="19"/>
        <v>0.16138004822844887</v>
      </c>
    </row>
    <row r="303" spans="1:11" x14ac:dyDescent="0.25">
      <c r="A303" s="1">
        <v>45323</v>
      </c>
      <c r="B303">
        <v>0.83</v>
      </c>
      <c r="G303" s="1">
        <v>45323</v>
      </c>
      <c r="H303">
        <f t="shared" si="16"/>
        <v>0.45384811994941715</v>
      </c>
      <c r="I303">
        <f t="shared" si="17"/>
        <v>-0.37615188005058281</v>
      </c>
      <c r="J303">
        <f t="shared" si="18"/>
        <v>0.62266713939528395</v>
      </c>
      <c r="K303">
        <f t="shared" si="19"/>
        <v>-0.47374318966161216</v>
      </c>
    </row>
    <row r="304" spans="1:11" x14ac:dyDescent="0.25">
      <c r="A304" s="1">
        <v>45352</v>
      </c>
      <c r="B304">
        <v>0.16</v>
      </c>
      <c r="G304" s="1">
        <v>45352</v>
      </c>
      <c r="H304">
        <f t="shared" si="16"/>
        <v>0.69655367680178382</v>
      </c>
      <c r="I304">
        <f t="shared" si="17"/>
        <v>0.53655367680178379</v>
      </c>
      <c r="J304">
        <f t="shared" si="18"/>
        <v>0.30091582989863092</v>
      </c>
      <c r="K304">
        <f t="shared" si="19"/>
        <v>-1.2009246882266564</v>
      </c>
    </row>
    <row r="305" spans="1:11" x14ac:dyDescent="0.25">
      <c r="A305" s="1">
        <v>45383</v>
      </c>
      <c r="B305">
        <v>0.38</v>
      </c>
      <c r="G305" s="1">
        <v>45383</v>
      </c>
      <c r="H305">
        <f t="shared" si="16"/>
        <v>0.29993727901864803</v>
      </c>
      <c r="I305">
        <f t="shared" si="17"/>
        <v>-8.0062720981351976E-2</v>
      </c>
      <c r="J305">
        <f t="shared" si="18"/>
        <v>1.2180046320631301</v>
      </c>
      <c r="K305">
        <f t="shared" si="19"/>
        <v>0.19721397228796989</v>
      </c>
    </row>
    <row r="306" spans="1:11" x14ac:dyDescent="0.25">
      <c r="A306" s="1">
        <v>45413</v>
      </c>
      <c r="B306">
        <v>0.46</v>
      </c>
      <c r="G306" s="1">
        <v>45413</v>
      </c>
      <c r="H306">
        <f t="shared" si="16"/>
        <v>0.43016952903699113</v>
      </c>
      <c r="I306">
        <f t="shared" si="17"/>
        <v>-2.9830470963008893E-2</v>
      </c>
      <c r="J306">
        <f t="shared" si="18"/>
        <v>1.2518635652797689</v>
      </c>
      <c r="K306">
        <f t="shared" si="19"/>
        <v>0.2246332933211575</v>
      </c>
    </row>
    <row r="307" spans="1:11" x14ac:dyDescent="0.25">
      <c r="A307" s="1">
        <v>45444</v>
      </c>
      <c r="B307">
        <v>0.21</v>
      </c>
      <c r="G307" s="1">
        <v>45444</v>
      </c>
      <c r="H307">
        <f t="shared" si="16"/>
        <v>0.47752671086184317</v>
      </c>
      <c r="I307">
        <f t="shared" si="17"/>
        <v>0.26752671086184321</v>
      </c>
      <c r="J307">
        <f t="shared" si="18"/>
        <v>0.88122282001729457</v>
      </c>
      <c r="K307">
        <f t="shared" si="19"/>
        <v>-0.1264447678648658</v>
      </c>
    </row>
    <row r="308" spans="1:11" x14ac:dyDescent="0.25">
      <c r="A308" s="1">
        <v>45474</v>
      </c>
      <c r="B308">
        <v>0.38</v>
      </c>
      <c r="G308" s="1">
        <v>45474</v>
      </c>
      <c r="H308">
        <f t="shared" si="16"/>
        <v>0.32953551765918054</v>
      </c>
      <c r="I308">
        <f t="shared" si="17"/>
        <v>-5.0464482340819461E-2</v>
      </c>
      <c r="J308">
        <f t="shared" si="18"/>
        <v>1.2416035860913026</v>
      </c>
      <c r="K308">
        <f t="shared" si="19"/>
        <v>0.2164037587249453</v>
      </c>
    </row>
    <row r="309" spans="1:11" x14ac:dyDescent="0.25">
      <c r="A309" s="1">
        <v>45505</v>
      </c>
      <c r="B309">
        <v>-0.02</v>
      </c>
      <c r="G309" s="1">
        <v>45505</v>
      </c>
      <c r="H309">
        <f t="shared" si="16"/>
        <v>0.43016952903699113</v>
      </c>
      <c r="I309">
        <f t="shared" si="17"/>
        <v>0.45016952903699115</v>
      </c>
      <c r="J309">
        <f t="shared" si="18"/>
        <v>0.45953385704915795</v>
      </c>
      <c r="K309">
        <f t="shared" si="19"/>
        <v>-0.77754265753049678</v>
      </c>
    </row>
    <row r="310" spans="1:11" x14ac:dyDescent="0.25">
      <c r="A310" s="1">
        <v>45536</v>
      </c>
      <c r="B310">
        <v>0.44</v>
      </c>
      <c r="G310" s="1">
        <v>45536</v>
      </c>
      <c r="H310">
        <f t="shared" si="16"/>
        <v>0.19338361991273093</v>
      </c>
      <c r="I310">
        <f t="shared" si="17"/>
        <v>-0.24661638008726908</v>
      </c>
      <c r="J310">
        <f t="shared" si="18"/>
        <v>0.9295598454295666</v>
      </c>
      <c r="K310">
        <f t="shared" si="19"/>
        <v>-7.3044089353624816E-2</v>
      </c>
    </row>
    <row r="311" spans="1:11" x14ac:dyDescent="0.25">
      <c r="A311" s="1">
        <v>45566</v>
      </c>
      <c r="B311">
        <v>0.56000000000000005</v>
      </c>
      <c r="G311" s="1">
        <v>45566</v>
      </c>
      <c r="H311">
        <f t="shared" si="16"/>
        <v>0.46568741540563019</v>
      </c>
      <c r="I311">
        <f t="shared" si="17"/>
        <v>-9.4312584594369864E-2</v>
      </c>
      <c r="J311">
        <f t="shared" si="18"/>
        <v>1.203063948565755</v>
      </c>
      <c r="K311">
        <f t="shared" si="19"/>
        <v>0.18487159315724661</v>
      </c>
    </row>
    <row r="312" spans="1:11" x14ac:dyDescent="0.25">
      <c r="A312" s="1">
        <v>45597</v>
      </c>
      <c r="B312">
        <v>0.39</v>
      </c>
      <c r="G312" s="1">
        <v>45597</v>
      </c>
      <c r="H312">
        <f t="shared" si="16"/>
        <v>0.5367231881429082</v>
      </c>
      <c r="I312">
        <f t="shared" si="17"/>
        <v>0.14672318814290819</v>
      </c>
      <c r="J312">
        <f t="shared" si="18"/>
        <v>1.1298931926331355</v>
      </c>
      <c r="K312">
        <f t="shared" si="19"/>
        <v>0.12212310846328658</v>
      </c>
    </row>
    <row r="313" spans="1:11" x14ac:dyDescent="0.25">
      <c r="A313" s="1">
        <v>45627</v>
      </c>
      <c r="B313">
        <v>0.52</v>
      </c>
      <c r="G313" s="1">
        <v>45627</v>
      </c>
      <c r="H313">
        <f t="shared" si="16"/>
        <v>0.43608917676509762</v>
      </c>
      <c r="I313">
        <f t="shared" si="17"/>
        <v>-8.3910823234902399E-2</v>
      </c>
      <c r="J313">
        <f t="shared" si="18"/>
        <v>1.2141931653628393</v>
      </c>
      <c r="K313">
        <f t="shared" si="19"/>
        <v>0.19407979477629791</v>
      </c>
    </row>
    <row r="314" spans="1:11" x14ac:dyDescent="0.25">
      <c r="A314" s="1">
        <v>45658</v>
      </c>
      <c r="B314">
        <v>0.16</v>
      </c>
      <c r="G314" s="1">
        <v>45658</v>
      </c>
      <c r="H314">
        <f t="shared" si="16"/>
        <v>0.51304459723048224</v>
      </c>
      <c r="I314">
        <f t="shared" si="17"/>
        <v>0.3530445972304822</v>
      </c>
      <c r="J314">
        <f t="shared" si="18"/>
        <v>0.67702399379367839</v>
      </c>
      <c r="K314">
        <f t="shared" si="19"/>
        <v>-0.39004856534829302</v>
      </c>
    </row>
    <row r="315" spans="1:11" x14ac:dyDescent="0.25">
      <c r="A315" s="1">
        <v>45689</v>
      </c>
      <c r="B315">
        <v>1.31</v>
      </c>
      <c r="G315" s="1">
        <v>45689</v>
      </c>
      <c r="H315">
        <f t="shared" si="16"/>
        <v>0.29993727901864803</v>
      </c>
      <c r="I315">
        <f t="shared" si="17"/>
        <v>-1.010062720981352</v>
      </c>
      <c r="J315">
        <f t="shared" si="18"/>
        <v>7.9187909315904925E-3</v>
      </c>
      <c r="K315">
        <f t="shared" si="19"/>
        <v>-4.8385167449622655</v>
      </c>
    </row>
    <row r="316" spans="1:11" x14ac:dyDescent="0.25">
      <c r="A316" s="1">
        <v>45717</v>
      </c>
      <c r="B316">
        <v>0.56000000000000005</v>
      </c>
      <c r="G316" s="1">
        <v>45717</v>
      </c>
      <c r="H316">
        <f t="shared" si="16"/>
        <v>0.9806967677508962</v>
      </c>
      <c r="I316">
        <f t="shared" si="17"/>
        <v>0.42069676775089615</v>
      </c>
      <c r="J316">
        <f t="shared" si="18"/>
        <v>0.52201816708112658</v>
      </c>
      <c r="K316">
        <f t="shared" si="19"/>
        <v>-0.65005288886769574</v>
      </c>
    </row>
    <row r="317" spans="1:11" x14ac:dyDescent="0.25">
      <c r="A317" s="1">
        <v>45748</v>
      </c>
      <c r="B317">
        <v>0.43</v>
      </c>
      <c r="G317" s="1">
        <v>45748</v>
      </c>
      <c r="H317">
        <f t="shared" si="16"/>
        <v>0.5367231881429082</v>
      </c>
      <c r="I317">
        <f t="shared" si="17"/>
        <v>0.10672318814290821</v>
      </c>
      <c r="J317">
        <f t="shared" si="18"/>
        <v>1.1882466938503382</v>
      </c>
      <c r="K317">
        <f t="shared" si="19"/>
        <v>0.17247885413936551</v>
      </c>
    </row>
    <row r="318" spans="1:11" x14ac:dyDescent="0.25">
      <c r="A318" s="1">
        <v>45778</v>
      </c>
      <c r="B318">
        <v>0.26</v>
      </c>
      <c r="G318" s="1">
        <v>45778</v>
      </c>
      <c r="H318">
        <f t="shared" si="16"/>
        <v>0.45976776767752364</v>
      </c>
      <c r="I318">
        <f t="shared" si="17"/>
        <v>0.19976776767752363</v>
      </c>
      <c r="J318">
        <f t="shared" si="18"/>
        <v>1.0313106215706949</v>
      </c>
      <c r="K318">
        <f t="shared" si="19"/>
        <v>3.0830441492410619E-2</v>
      </c>
    </row>
    <row r="319" spans="1:11" x14ac:dyDescent="0.25">
      <c r="A319" s="1">
        <v>45809</v>
      </c>
      <c r="B319">
        <v>0.24</v>
      </c>
      <c r="G319" s="1">
        <v>45809</v>
      </c>
      <c r="H319">
        <f t="shared" si="16"/>
        <v>0.35913375629971311</v>
      </c>
      <c r="I319">
        <f t="shared" si="17"/>
        <v>0.11913375629971312</v>
      </c>
      <c r="J319">
        <f t="shared" si="18"/>
        <v>1.1718175523947307</v>
      </c>
      <c r="K319">
        <f t="shared" si="19"/>
        <v>0.15855600701852676</v>
      </c>
    </row>
    <row r="320" spans="1:11" x14ac:dyDescent="0.25">
      <c r="A320" s="1">
        <v>45839</v>
      </c>
      <c r="B320">
        <v>0.26</v>
      </c>
      <c r="G320" s="1">
        <v>45839</v>
      </c>
      <c r="H320">
        <f t="shared" si="16"/>
        <v>0.34729446084350002</v>
      </c>
      <c r="I320">
        <f t="shared" si="17"/>
        <v>8.729446084350001E-2</v>
      </c>
      <c r="J320">
        <f t="shared" si="18"/>
        <v>1.2107044955610782</v>
      </c>
      <c r="K320">
        <f t="shared" si="19"/>
        <v>0.19120241791627035</v>
      </c>
    </row>
    <row r="321" spans="1:11" x14ac:dyDescent="0.25">
      <c r="A321" s="1">
        <v>45870</v>
      </c>
      <c r="B321">
        <v>-0.11</v>
      </c>
      <c r="G321" s="1">
        <v>45870</v>
      </c>
      <c r="H321">
        <f t="shared" si="16"/>
        <v>0.35913375629971311</v>
      </c>
      <c r="I321">
        <f t="shared" si="17"/>
        <v>0.4691337562997131</v>
      </c>
      <c r="J321">
        <f t="shared" si="18"/>
        <v>0.42141444934707933</v>
      </c>
      <c r="K321">
        <f t="shared" si="19"/>
        <v>-0.86413848928893777</v>
      </c>
    </row>
    <row r="322" spans="1:11" x14ac:dyDescent="0.25">
      <c r="A322" s="1">
        <v>45901</v>
      </c>
      <c r="B322">
        <v>0.48</v>
      </c>
      <c r="G322" s="1">
        <v>45901</v>
      </c>
      <c r="H322">
        <f t="shared" si="16"/>
        <v>0.14010679035977236</v>
      </c>
      <c r="I322">
        <f t="shared" si="17"/>
        <v>-0.33989320964022762</v>
      </c>
      <c r="J322">
        <f t="shared" si="18"/>
        <v>0.70837398423588971</v>
      </c>
      <c r="K322">
        <f t="shared" si="19"/>
        <v>-0.34478309842895311</v>
      </c>
    </row>
    <row r="323" spans="1:11" x14ac:dyDescent="0.25">
      <c r="A323" s="1">
        <v>45931</v>
      </c>
      <c r="B323">
        <v>0.09</v>
      </c>
      <c r="G323" s="1">
        <v>45931</v>
      </c>
      <c r="H323">
        <f t="shared" si="16"/>
        <v>0.48936600631805616</v>
      </c>
      <c r="I323">
        <f t="shared" si="17"/>
        <v>0.39936600631805619</v>
      </c>
      <c r="J323">
        <f t="shared" si="18"/>
        <v>0.5694037298629383</v>
      </c>
      <c r="K323">
        <f t="shared" si="19"/>
        <v>-0.56316555364518606</v>
      </c>
    </row>
    <row r="324" spans="1:11" x14ac:dyDescent="0.25">
      <c r="A324" s="1">
        <v>45962</v>
      </c>
      <c r="B324">
        <v>0.18</v>
      </c>
      <c r="G324" s="1">
        <v>45962</v>
      </c>
      <c r="H324">
        <f t="shared" ref="H324:H325" si="20">$E$4+$E$5*B323</f>
        <v>0.25849974492190247</v>
      </c>
      <c r="I324">
        <f t="shared" ref="I324:I327" si="21">H324-B324</f>
        <v>7.8499744921902481E-2</v>
      </c>
      <c r="J324">
        <f t="shared" ref="J324:J327" si="22">_xlfn.NORM.DIST(I324,$E$7,$E$8,0)</f>
        <v>1.2195049658300523</v>
      </c>
      <c r="K324">
        <f t="shared" ref="K324:K327" si="23">LN(J324)</f>
        <v>0.19844501068691037</v>
      </c>
    </row>
    <row r="325" spans="1:11" x14ac:dyDescent="0.25">
      <c r="A325" s="1">
        <v>45992</v>
      </c>
      <c r="B325">
        <v>0.33</v>
      </c>
      <c r="G325" s="1">
        <v>45992</v>
      </c>
      <c r="H325">
        <f t="shared" si="20"/>
        <v>0.31177657447486101</v>
      </c>
      <c r="I325">
        <f t="shared" si="21"/>
        <v>-1.8223425525139003E-2</v>
      </c>
      <c r="J325">
        <f t="shared" si="22"/>
        <v>1.2553366277793885</v>
      </c>
      <c r="K325">
        <f t="shared" si="23"/>
        <v>0.22740376592298395</v>
      </c>
    </row>
    <row r="326" spans="1:11" x14ac:dyDescent="0.25">
      <c r="A326" s="1">
        <v>46023</v>
      </c>
      <c r="B326">
        <v>0.33</v>
      </c>
      <c r="G326" s="1">
        <v>46023</v>
      </c>
      <c r="H326">
        <f>$E$4+$E$5*B325</f>
        <v>0.40057129039645861</v>
      </c>
      <c r="I326">
        <f t="shared" si="21"/>
        <v>7.0571290396458597E-2</v>
      </c>
      <c r="J326">
        <f t="shared" si="22"/>
        <v>1.2266852838652043</v>
      </c>
      <c r="K326">
        <f t="shared" si="23"/>
        <v>0.2043156404615846</v>
      </c>
    </row>
    <row r="327" spans="1:11" x14ac:dyDescent="0.25">
      <c r="A327" s="1">
        <v>46054</v>
      </c>
      <c r="B327">
        <v>0.7</v>
      </c>
      <c r="G327" s="1">
        <v>46054</v>
      </c>
      <c r="H327">
        <f>$E$4+$E$5*B326</f>
        <v>0.40057129039645861</v>
      </c>
      <c r="I327">
        <f t="shared" si="21"/>
        <v>-0.29942870960354134</v>
      </c>
      <c r="J327">
        <f t="shared" si="22"/>
        <v>0.80550573882963972</v>
      </c>
      <c r="K327">
        <f t="shared" si="23"/>
        <v>-0.21628495183475849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brutos</vt:lpstr>
      <vt:lpstr>assume e estima AR(1)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MICHAEL DE AZEVEDO COSTA</dc:creator>
  <cp:lastModifiedBy>SILVIO MICHAEL DE AZEVEDO COSTA</cp:lastModifiedBy>
  <dcterms:created xsi:type="dcterms:W3CDTF">2026-03-16T14:43:11Z</dcterms:created>
  <dcterms:modified xsi:type="dcterms:W3CDTF">2026-03-16T14:46:25Z</dcterms:modified>
</cp:coreProperties>
</file>