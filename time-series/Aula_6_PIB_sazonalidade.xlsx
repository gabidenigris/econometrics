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estacio-my.sharepoint.com/personal/03603833430_professores_ibmec_edu_br/Documents/2025/Econometria II 2025.2/"/>
    </mc:Choice>
  </mc:AlternateContent>
  <xr:revisionPtr revIDLastSave="1" documentId="8_{EDA0DFA3-326B-48A5-8D58-151FB43AFF49}" xr6:coauthVersionLast="47" xr6:coauthVersionMax="47" xr10:uidLastSave="{99F594CC-D4D9-4C0E-A4C2-59AC5AFEC218}"/>
  <bookViews>
    <workbookView xWindow="-120" yWindow="-120" windowWidth="19440" windowHeight="11040" xr2:uid="{DD84BA18-8F3F-4E06-AF75-67A6C7267322}"/>
  </bookViews>
  <sheets>
    <sheet name="STP-2025042510385364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" i="1" l="1"/>
  <c r="G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J90" i="1" l="1"/>
  <c r="K90" i="1" s="1"/>
  <c r="J66" i="1"/>
  <c r="K66" i="1" s="1"/>
  <c r="J102" i="1"/>
  <c r="K102" i="1" s="1"/>
  <c r="J54" i="1"/>
  <c r="K54" i="1" s="1"/>
  <c r="J18" i="1"/>
  <c r="K18" i="1" s="1"/>
  <c r="J78" i="1"/>
  <c r="K78" i="1" s="1"/>
  <c r="J43" i="1"/>
  <c r="K43" i="1" s="1"/>
  <c r="J14" i="1"/>
  <c r="K14" i="1" s="1"/>
  <c r="J114" i="1"/>
  <c r="K114" i="1" s="1"/>
  <c r="J42" i="1"/>
  <c r="K42" i="1" s="1"/>
  <c r="J30" i="1"/>
  <c r="K30" i="1" s="1"/>
  <c r="J12" i="1"/>
  <c r="K12" i="1" s="1"/>
  <c r="J96" i="1"/>
  <c r="K96" i="1" s="1"/>
  <c r="J72" i="1"/>
  <c r="K72" i="1" s="1"/>
  <c r="J36" i="1"/>
  <c r="K36" i="1" s="1"/>
  <c r="J108" i="1"/>
  <c r="K108" i="1" s="1"/>
  <c r="J84" i="1"/>
  <c r="K84" i="1" s="1"/>
  <c r="J60" i="1"/>
  <c r="K60" i="1" s="1"/>
  <c r="J48" i="1"/>
  <c r="K48" i="1" s="1"/>
  <c r="J24" i="1"/>
  <c r="K24" i="1" s="1"/>
  <c r="J117" i="1"/>
  <c r="K117" i="1"/>
  <c r="J115" i="1"/>
  <c r="K115" i="1" s="1"/>
  <c r="J116" i="1"/>
  <c r="K116" i="1" s="1"/>
  <c r="J111" i="1"/>
  <c r="K111" i="1" s="1"/>
  <c r="J113" i="1"/>
  <c r="K113" i="1" s="1"/>
  <c r="J105" i="1"/>
  <c r="K105" i="1" s="1"/>
  <c r="J103" i="1"/>
  <c r="K103" i="1" s="1"/>
  <c r="J104" i="1"/>
  <c r="K104" i="1" s="1"/>
  <c r="J99" i="1"/>
  <c r="K99" i="1" s="1"/>
  <c r="J93" i="1"/>
  <c r="K93" i="1"/>
  <c r="J91" i="1"/>
  <c r="K91" i="1" s="1"/>
  <c r="J92" i="1"/>
  <c r="K92" i="1" s="1"/>
  <c r="J87" i="1"/>
  <c r="K87" i="1" s="1"/>
  <c r="J81" i="1"/>
  <c r="K81" i="1" s="1"/>
  <c r="J79" i="1"/>
  <c r="K79" i="1" s="1"/>
  <c r="J75" i="1"/>
  <c r="K75" i="1" s="1"/>
  <c r="J69" i="1"/>
  <c r="K69" i="1" s="1"/>
  <c r="J67" i="1"/>
  <c r="K67" i="1" s="1"/>
  <c r="J68" i="1"/>
  <c r="K68" i="1" s="1"/>
  <c r="J63" i="1"/>
  <c r="K63" i="1" s="1"/>
  <c r="J57" i="1"/>
  <c r="K57" i="1" s="1"/>
  <c r="J55" i="1"/>
  <c r="K55" i="1" s="1"/>
  <c r="J56" i="1"/>
  <c r="K56" i="1" s="1"/>
  <c r="J51" i="1"/>
  <c r="K51" i="1" s="1"/>
  <c r="J45" i="1"/>
  <c r="K45" i="1" s="1"/>
  <c r="J44" i="1"/>
  <c r="K44" i="1" s="1"/>
  <c r="J39" i="1"/>
  <c r="K39" i="1" s="1"/>
  <c r="J33" i="1"/>
  <c r="K33" i="1" s="1"/>
  <c r="J31" i="1"/>
  <c r="K31" i="1" s="1"/>
  <c r="J27" i="1"/>
  <c r="K27" i="1" s="1"/>
  <c r="J21" i="1"/>
  <c r="K21" i="1" s="1"/>
  <c r="J19" i="1"/>
  <c r="K19" i="1" s="1"/>
  <c r="J20" i="1"/>
  <c r="K20" i="1" s="1"/>
  <c r="J15" i="1"/>
  <c r="K15" i="1" s="1"/>
  <c r="J9" i="1"/>
  <c r="K9" i="1" s="1"/>
  <c r="J13" i="1"/>
  <c r="K13" i="1" s="1"/>
  <c r="J32" i="1"/>
  <c r="K32" i="1" s="1"/>
  <c r="J110" i="1"/>
  <c r="K110" i="1" s="1"/>
  <c r="J86" i="1"/>
  <c r="K86" i="1" s="1"/>
  <c r="J89" i="1"/>
  <c r="K89" i="1" s="1"/>
  <c r="J80" i="1"/>
  <c r="K80" i="1" s="1"/>
  <c r="J62" i="1"/>
  <c r="K62" i="1" s="1"/>
  <c r="J38" i="1"/>
  <c r="K38" i="1" s="1"/>
  <c r="J26" i="1"/>
  <c r="K26" i="1" s="1"/>
  <c r="J109" i="1"/>
  <c r="K109" i="1" s="1"/>
  <c r="J97" i="1"/>
  <c r="K97" i="1" s="1"/>
  <c r="J85" i="1"/>
  <c r="K85" i="1" s="1"/>
  <c r="J73" i="1"/>
  <c r="K73" i="1" s="1"/>
  <c r="J61" i="1"/>
  <c r="K61" i="1" s="1"/>
  <c r="J49" i="1"/>
  <c r="K49" i="1" s="1"/>
  <c r="J37" i="1"/>
  <c r="K37" i="1" s="1"/>
  <c r="J25" i="1"/>
  <c r="K25" i="1" s="1"/>
  <c r="K7" i="1"/>
  <c r="J119" i="1"/>
  <c r="K119" i="1" s="1"/>
  <c r="J107" i="1"/>
  <c r="K107" i="1" s="1"/>
  <c r="J95" i="1"/>
  <c r="K95" i="1" s="1"/>
  <c r="J83" i="1"/>
  <c r="K83" i="1" s="1"/>
  <c r="J71" i="1"/>
  <c r="K71" i="1" s="1"/>
  <c r="J59" i="1"/>
  <c r="K59" i="1" s="1"/>
  <c r="J47" i="1"/>
  <c r="K47" i="1" s="1"/>
  <c r="J35" i="1"/>
  <c r="K35" i="1" s="1"/>
  <c r="J23" i="1"/>
  <c r="K23" i="1" s="1"/>
  <c r="J118" i="1"/>
  <c r="K118" i="1" s="1"/>
  <c r="J112" i="1"/>
  <c r="K112" i="1" s="1"/>
  <c r="J106" i="1"/>
  <c r="K106" i="1" s="1"/>
  <c r="J101" i="1"/>
  <c r="K101" i="1" s="1"/>
  <c r="J100" i="1"/>
  <c r="K100" i="1" s="1"/>
  <c r="J94" i="1"/>
  <c r="K94" i="1" s="1"/>
  <c r="J88" i="1"/>
  <c r="K88" i="1" s="1"/>
  <c r="J82" i="1"/>
  <c r="K82" i="1" s="1"/>
  <c r="J76" i="1"/>
  <c r="K76" i="1" s="1"/>
  <c r="J77" i="1"/>
  <c r="K77" i="1" s="1"/>
  <c r="J70" i="1"/>
  <c r="K70" i="1" s="1"/>
  <c r="J64" i="1"/>
  <c r="K64" i="1" s="1"/>
  <c r="J65" i="1"/>
  <c r="K65" i="1" s="1"/>
  <c r="J58" i="1"/>
  <c r="K58" i="1" s="1"/>
  <c r="J52" i="1"/>
  <c r="K52" i="1" s="1"/>
  <c r="J53" i="1"/>
  <c r="K53" i="1" s="1"/>
  <c r="J46" i="1"/>
  <c r="K46" i="1" s="1"/>
  <c r="J40" i="1"/>
  <c r="K40" i="1" s="1"/>
  <c r="J41" i="1"/>
  <c r="K41" i="1" s="1"/>
  <c r="J34" i="1"/>
  <c r="K34" i="1" s="1"/>
  <c r="J28" i="1"/>
  <c r="K28" i="1" s="1"/>
  <c r="J29" i="1"/>
  <c r="K29" i="1" s="1"/>
  <c r="J22" i="1"/>
  <c r="K22" i="1" s="1"/>
  <c r="J16" i="1"/>
  <c r="K16" i="1" s="1"/>
  <c r="J17" i="1"/>
  <c r="K17" i="1" s="1"/>
  <c r="J10" i="1"/>
  <c r="K10" i="1" s="1"/>
  <c r="J11" i="1"/>
  <c r="K11" i="1" s="1"/>
  <c r="J98" i="1"/>
  <c r="K98" i="1" s="1"/>
  <c r="J74" i="1"/>
  <c r="K74" i="1" s="1"/>
  <c r="J50" i="1"/>
  <c r="K50" i="1" s="1"/>
  <c r="J8" i="1"/>
  <c r="K8" i="1" s="1"/>
  <c r="O9" i="1" l="1"/>
  <c r="O10" i="1"/>
  <c r="O8" i="1"/>
  <c r="O11" i="1"/>
  <c r="O13" i="1" l="1"/>
  <c r="P9" i="1" l="1"/>
  <c r="P8" i="1"/>
  <c r="P10" i="1"/>
  <c r="P11" i="1"/>
  <c r="R13" i="1" l="1"/>
  <c r="S13" i="1" s="1"/>
  <c r="R25" i="1"/>
  <c r="S25" i="1" s="1"/>
  <c r="R37" i="1"/>
  <c r="S37" i="1" s="1"/>
  <c r="R49" i="1"/>
  <c r="S49" i="1" s="1"/>
  <c r="R61" i="1"/>
  <c r="S61" i="1" s="1"/>
  <c r="R73" i="1"/>
  <c r="S73" i="1" s="1"/>
  <c r="R85" i="1"/>
  <c r="S85" i="1" s="1"/>
  <c r="R97" i="1"/>
  <c r="S97" i="1" s="1"/>
  <c r="R109" i="1"/>
  <c r="S109" i="1" s="1"/>
  <c r="R29" i="1"/>
  <c r="S29" i="1" s="1"/>
  <c r="R101" i="1"/>
  <c r="S101" i="1" s="1"/>
  <c r="R17" i="1"/>
  <c r="S17" i="1" s="1"/>
  <c r="R33" i="1"/>
  <c r="S33" i="1" s="1"/>
  <c r="R53" i="1"/>
  <c r="S53" i="1" s="1"/>
  <c r="R69" i="1"/>
  <c r="S69" i="1" s="1"/>
  <c r="R89" i="1"/>
  <c r="S89" i="1" s="1"/>
  <c r="R105" i="1"/>
  <c r="S105" i="1" s="1"/>
  <c r="R57" i="1"/>
  <c r="S57" i="1" s="1"/>
  <c r="R121" i="1"/>
  <c r="S121" i="1" s="1"/>
  <c r="R9" i="1"/>
  <c r="S9" i="1" s="1"/>
  <c r="R45" i="1"/>
  <c r="S45" i="1" s="1"/>
  <c r="R65" i="1"/>
  <c r="S65" i="1" s="1"/>
  <c r="R81" i="1"/>
  <c r="S81" i="1" s="1"/>
  <c r="R117" i="1"/>
  <c r="S117" i="1" s="1"/>
  <c r="R5" i="1"/>
  <c r="S5" i="1" s="1"/>
  <c r="R21" i="1"/>
  <c r="S21" i="1" s="1"/>
  <c r="R41" i="1"/>
  <c r="S41" i="1" s="1"/>
  <c r="R77" i="1"/>
  <c r="S77" i="1" s="1"/>
  <c r="R93" i="1"/>
  <c r="S93" i="1" s="1"/>
  <c r="R113" i="1"/>
  <c r="S113" i="1" s="1"/>
  <c r="R12" i="1"/>
  <c r="S12" i="1" s="1"/>
  <c r="R24" i="1"/>
  <c r="S24" i="1" s="1"/>
  <c r="R36" i="1"/>
  <c r="S36" i="1" s="1"/>
  <c r="R48" i="1"/>
  <c r="S48" i="1" s="1"/>
  <c r="R60" i="1"/>
  <c r="S60" i="1" s="1"/>
  <c r="R72" i="1"/>
  <c r="S72" i="1" s="1"/>
  <c r="R84" i="1"/>
  <c r="S84" i="1" s="1"/>
  <c r="R96" i="1"/>
  <c r="S96" i="1" s="1"/>
  <c r="R108" i="1"/>
  <c r="S108" i="1" s="1"/>
  <c r="R4" i="1"/>
  <c r="R120" i="1"/>
  <c r="S120" i="1" s="1"/>
  <c r="R28" i="1"/>
  <c r="S28" i="1" s="1"/>
  <c r="R80" i="1"/>
  <c r="S80" i="1" s="1"/>
  <c r="R16" i="1"/>
  <c r="S16" i="1" s="1"/>
  <c r="R32" i="1"/>
  <c r="S32" i="1" s="1"/>
  <c r="R52" i="1"/>
  <c r="S52" i="1" s="1"/>
  <c r="R68" i="1"/>
  <c r="S68" i="1" s="1"/>
  <c r="R88" i="1"/>
  <c r="S88" i="1" s="1"/>
  <c r="R104" i="1"/>
  <c r="S104" i="1" s="1"/>
  <c r="R40" i="1"/>
  <c r="S40" i="1" s="1"/>
  <c r="R112" i="1"/>
  <c r="S112" i="1" s="1"/>
  <c r="R44" i="1"/>
  <c r="S44" i="1" s="1"/>
  <c r="R64" i="1"/>
  <c r="S64" i="1" s="1"/>
  <c r="R100" i="1"/>
  <c r="S100" i="1" s="1"/>
  <c r="R116" i="1"/>
  <c r="S116" i="1" s="1"/>
  <c r="R8" i="1"/>
  <c r="S8" i="1" s="1"/>
  <c r="R20" i="1"/>
  <c r="S20" i="1" s="1"/>
  <c r="R56" i="1"/>
  <c r="S56" i="1" s="1"/>
  <c r="R76" i="1"/>
  <c r="S76" i="1" s="1"/>
  <c r="R92" i="1"/>
  <c r="S92" i="1" s="1"/>
  <c r="R10" i="1"/>
  <c r="S10" i="1" s="1"/>
  <c r="R22" i="1"/>
  <c r="S22" i="1" s="1"/>
  <c r="R34" i="1"/>
  <c r="S34" i="1" s="1"/>
  <c r="R46" i="1"/>
  <c r="S46" i="1" s="1"/>
  <c r="R58" i="1"/>
  <c r="S58" i="1" s="1"/>
  <c r="R70" i="1"/>
  <c r="S70" i="1" s="1"/>
  <c r="R82" i="1"/>
  <c r="S82" i="1" s="1"/>
  <c r="R94" i="1"/>
  <c r="S94" i="1" s="1"/>
  <c r="R106" i="1"/>
  <c r="S106" i="1" s="1"/>
  <c r="R118" i="1"/>
  <c r="S118" i="1" s="1"/>
  <c r="R30" i="1"/>
  <c r="S30" i="1" s="1"/>
  <c r="R6" i="1"/>
  <c r="S6" i="1" s="1"/>
  <c r="R38" i="1"/>
  <c r="S38" i="1" s="1"/>
  <c r="R74" i="1"/>
  <c r="S74" i="1" s="1"/>
  <c r="R2" i="1"/>
  <c r="R26" i="1"/>
  <c r="S26" i="1" s="1"/>
  <c r="R42" i="1"/>
  <c r="S42" i="1" s="1"/>
  <c r="R62" i="1"/>
  <c r="S62" i="1" s="1"/>
  <c r="R78" i="1"/>
  <c r="S78" i="1" s="1"/>
  <c r="R98" i="1"/>
  <c r="S98" i="1" s="1"/>
  <c r="R114" i="1"/>
  <c r="S114" i="1" s="1"/>
  <c r="R14" i="1"/>
  <c r="S14" i="1" s="1"/>
  <c r="R50" i="1"/>
  <c r="S50" i="1" s="1"/>
  <c r="R66" i="1"/>
  <c r="S66" i="1" s="1"/>
  <c r="R86" i="1"/>
  <c r="S86" i="1" s="1"/>
  <c r="R102" i="1"/>
  <c r="S102" i="1" s="1"/>
  <c r="R18" i="1"/>
  <c r="S18" i="1" s="1"/>
  <c r="R54" i="1"/>
  <c r="S54" i="1" s="1"/>
  <c r="R90" i="1"/>
  <c r="S90" i="1" s="1"/>
  <c r="R110" i="1"/>
  <c r="S110" i="1" s="1"/>
  <c r="R11" i="1"/>
  <c r="S11" i="1" s="1"/>
  <c r="R23" i="1"/>
  <c r="S23" i="1" s="1"/>
  <c r="R35" i="1"/>
  <c r="S35" i="1" s="1"/>
  <c r="R47" i="1"/>
  <c r="S47" i="1" s="1"/>
  <c r="R59" i="1"/>
  <c r="S59" i="1" s="1"/>
  <c r="R71" i="1"/>
  <c r="S71" i="1" s="1"/>
  <c r="R83" i="1"/>
  <c r="S83" i="1" s="1"/>
  <c r="R95" i="1"/>
  <c r="S95" i="1" s="1"/>
  <c r="R107" i="1"/>
  <c r="S107" i="1" s="1"/>
  <c r="R119" i="1"/>
  <c r="S119" i="1" s="1"/>
  <c r="R3" i="1"/>
  <c r="R27" i="1"/>
  <c r="S27" i="1" s="1"/>
  <c r="R43" i="1"/>
  <c r="S43" i="1" s="1"/>
  <c r="R63" i="1"/>
  <c r="S63" i="1" s="1"/>
  <c r="R79" i="1"/>
  <c r="S79" i="1" s="1"/>
  <c r="R99" i="1"/>
  <c r="S99" i="1" s="1"/>
  <c r="R115" i="1"/>
  <c r="S115" i="1" s="1"/>
  <c r="R15" i="1"/>
  <c r="S15" i="1" s="1"/>
  <c r="R31" i="1"/>
  <c r="S31" i="1" s="1"/>
  <c r="R51" i="1"/>
  <c r="S51" i="1" s="1"/>
  <c r="R67" i="1"/>
  <c r="S67" i="1" s="1"/>
  <c r="R87" i="1"/>
  <c r="S87" i="1" s="1"/>
  <c r="R103" i="1"/>
  <c r="S103" i="1" s="1"/>
  <c r="R7" i="1"/>
  <c r="S7" i="1" s="1"/>
  <c r="R39" i="1"/>
  <c r="S39" i="1" s="1"/>
  <c r="R91" i="1"/>
  <c r="S91" i="1" s="1"/>
  <c r="R19" i="1"/>
  <c r="S19" i="1" s="1"/>
  <c r="R55" i="1"/>
  <c r="S55" i="1" s="1"/>
  <c r="R75" i="1"/>
  <c r="S75" i="1" s="1"/>
  <c r="R111" i="1"/>
  <c r="S111" i="1" s="1"/>
</calcChain>
</file>

<file path=xl/sharedStrings.xml><?xml version="1.0" encoding="utf-8"?>
<sst xmlns="http://schemas.openxmlformats.org/spreadsheetml/2006/main" count="144" uniqueCount="140">
  <si>
    <t>Data</t>
  </si>
  <si>
    <t>22099 - PIB trimestral - Dados observados - Produto Interno Bruto a preços de mercado - Índice</t>
  </si>
  <si>
    <t>22109 - PIB trimestral - Dados dessazonalizados - Produto Interno Bruto a preços de mercado - Índice</t>
  </si>
  <si>
    <t>1° Trim.1995</t>
  </si>
  <si>
    <t>-</t>
  </si>
  <si>
    <t>2° Trim.1995</t>
  </si>
  <si>
    <t>3° Trim.1995</t>
  </si>
  <si>
    <t>4° Trim.1995</t>
  </si>
  <si>
    <t>1° Trim.1996</t>
  </si>
  <si>
    <t>2° Trim.1996</t>
  </si>
  <si>
    <t>3° Trim.1996</t>
  </si>
  <si>
    <t>4° Trim.1996</t>
  </si>
  <si>
    <t>1° Trim.1997</t>
  </si>
  <si>
    <t>2° Trim.1997</t>
  </si>
  <si>
    <t>3° Trim.1997</t>
  </si>
  <si>
    <t>4° Trim.1997</t>
  </si>
  <si>
    <t>1° Trim.1998</t>
  </si>
  <si>
    <t>2° Trim.1998</t>
  </si>
  <si>
    <t>3° Trim.1998</t>
  </si>
  <si>
    <t>4° Trim.1998</t>
  </si>
  <si>
    <t>1° Trim.1999</t>
  </si>
  <si>
    <t>2° Trim.1999</t>
  </si>
  <si>
    <t>3° Trim.1999</t>
  </si>
  <si>
    <t>4° Trim.1999</t>
  </si>
  <si>
    <t>1° Trim.2000</t>
  </si>
  <si>
    <t>2° Trim.2000</t>
  </si>
  <si>
    <t>3° Trim.2000</t>
  </si>
  <si>
    <t>4° Trim.2000</t>
  </si>
  <si>
    <t>1° Trim.2001</t>
  </si>
  <si>
    <t>2° Trim.2001</t>
  </si>
  <si>
    <t>3° Trim.2001</t>
  </si>
  <si>
    <t>4° Trim.2001</t>
  </si>
  <si>
    <t>1° Trim.2002</t>
  </si>
  <si>
    <t>2° Trim.2002</t>
  </si>
  <si>
    <t>3° Trim.2002</t>
  </si>
  <si>
    <t>4° Trim.2002</t>
  </si>
  <si>
    <t>1° Trim.2003</t>
  </si>
  <si>
    <t>2° Trim.2003</t>
  </si>
  <si>
    <t>3° Trim.2003</t>
  </si>
  <si>
    <t>4° Trim.2003</t>
  </si>
  <si>
    <t>1° Trim.2004</t>
  </si>
  <si>
    <t>2° Trim.2004</t>
  </si>
  <si>
    <t>3° Trim.2004</t>
  </si>
  <si>
    <t>4° Trim.2004</t>
  </si>
  <si>
    <t>1° Trim.2005</t>
  </si>
  <si>
    <t>2° Trim.2005</t>
  </si>
  <si>
    <t>3° Trim.2005</t>
  </si>
  <si>
    <t>4° Trim.2005</t>
  </si>
  <si>
    <t>1° Trim.2006</t>
  </si>
  <si>
    <t>2° Trim.2006</t>
  </si>
  <si>
    <t>3° Trim.2006</t>
  </si>
  <si>
    <t>4° Trim.2006</t>
  </si>
  <si>
    <t>1° Trim.2007</t>
  </si>
  <si>
    <t>2° Trim.2007</t>
  </si>
  <si>
    <t>3° Trim.2007</t>
  </si>
  <si>
    <t>4° Trim.2007</t>
  </si>
  <si>
    <t>1° Trim.2008</t>
  </si>
  <si>
    <t>2° Trim.2008</t>
  </si>
  <si>
    <t>3° Trim.2008</t>
  </si>
  <si>
    <t>4° Trim.2008</t>
  </si>
  <si>
    <t>1° Trim.2009</t>
  </si>
  <si>
    <t>2° Trim.2009</t>
  </si>
  <si>
    <t>3° Trim.2009</t>
  </si>
  <si>
    <t>4° Trim.2009</t>
  </si>
  <si>
    <t>1° Trim.2010</t>
  </si>
  <si>
    <t>2° Trim.2010</t>
  </si>
  <si>
    <t>3° Trim.2010</t>
  </si>
  <si>
    <t>4° Trim.2010</t>
  </si>
  <si>
    <t>1° Trim.2011</t>
  </si>
  <si>
    <t>2° Trim.2011</t>
  </si>
  <si>
    <t>3° Trim.2011</t>
  </si>
  <si>
    <t>4° Trim.2011</t>
  </si>
  <si>
    <t>1° Trim.2012</t>
  </si>
  <si>
    <t>2° Trim.2012</t>
  </si>
  <si>
    <t>3° Trim.2012</t>
  </si>
  <si>
    <t>4° Trim.2012</t>
  </si>
  <si>
    <t>1° Trim.2013</t>
  </si>
  <si>
    <t>2° Trim.2013</t>
  </si>
  <si>
    <t>3° Trim.2013</t>
  </si>
  <si>
    <t>4° Trim.2013</t>
  </si>
  <si>
    <t>1° Trim.2014</t>
  </si>
  <si>
    <t>2° Trim.2014</t>
  </si>
  <si>
    <t>3° Trim.2014</t>
  </si>
  <si>
    <t>4° Trim.2014</t>
  </si>
  <si>
    <t>1° Trim.2015</t>
  </si>
  <si>
    <t>2° Trim.2015</t>
  </si>
  <si>
    <t>3° Trim.2015</t>
  </si>
  <si>
    <t>4° Trim.2015</t>
  </si>
  <si>
    <t>1° Trim.2016</t>
  </si>
  <si>
    <t>2° Trim.2016</t>
  </si>
  <si>
    <t>3° Trim.2016</t>
  </si>
  <si>
    <t>4° Trim.2016</t>
  </si>
  <si>
    <t>1° Trim.2017</t>
  </si>
  <si>
    <t>2° Trim.2017</t>
  </si>
  <si>
    <t>3° Trim.2017</t>
  </si>
  <si>
    <t>4° Trim.2017</t>
  </si>
  <si>
    <t>1° Trim.2018</t>
  </si>
  <si>
    <t>2° Trim.2018</t>
  </si>
  <si>
    <t>3° Trim.2018</t>
  </si>
  <si>
    <t>4° Trim.2018</t>
  </si>
  <si>
    <t>1° Trim.2019</t>
  </si>
  <si>
    <t>2° Trim.2019</t>
  </si>
  <si>
    <t>3° Trim.2019</t>
  </si>
  <si>
    <t>4° Trim.2019</t>
  </si>
  <si>
    <t>1° Trim.2020</t>
  </si>
  <si>
    <t>2° Trim.2020</t>
  </si>
  <si>
    <t>3° Trim.2020</t>
  </si>
  <si>
    <t>4° Trim.2020</t>
  </si>
  <si>
    <t>1° Trim.2021</t>
  </si>
  <si>
    <t>2° Trim.2021</t>
  </si>
  <si>
    <t>3° Trim.2021</t>
  </si>
  <si>
    <t>4° Trim.2021</t>
  </si>
  <si>
    <t>1° Trim.2022</t>
  </si>
  <si>
    <t>2° Trim.2022</t>
  </si>
  <si>
    <t>3° Trim.2022</t>
  </si>
  <si>
    <t>4° Trim.2022</t>
  </si>
  <si>
    <t>1° Trim.2023</t>
  </si>
  <si>
    <t>2° Trim.2023</t>
  </si>
  <si>
    <t>3° Trim.2023</t>
  </si>
  <si>
    <t>4° Trim.2023</t>
  </si>
  <si>
    <t>1° Trim.2024</t>
  </si>
  <si>
    <t>2° Trim.2024</t>
  </si>
  <si>
    <t>3° Trim.2024</t>
  </si>
  <si>
    <t>4° Trim.2024</t>
  </si>
  <si>
    <t>Fonte</t>
  </si>
  <si>
    <t>IBGE</t>
  </si>
  <si>
    <t>MEDIAS</t>
  </si>
  <si>
    <t>jun</t>
  </si>
  <si>
    <t>set</t>
  </si>
  <si>
    <t>dez</t>
  </si>
  <si>
    <t>mar</t>
  </si>
  <si>
    <t>bar(v_t)</t>
  </si>
  <si>
    <t>IBGE 
y_t</t>
  </si>
  <si>
    <t>IBGE
y_sa_t</t>
  </si>
  <si>
    <t>x_t : media movel</t>
  </si>
  <si>
    <t>z_t = y_t/x_t = S x U</t>
  </si>
  <si>
    <t>S_t : fatores sazonais no tempo</t>
  </si>
  <si>
    <t>f_t : fatores sazonais</t>
  </si>
  <si>
    <t>média das médias</t>
  </si>
  <si>
    <t>y_sa_t
MÉTODO MÉDIAS MÓVEIS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</si>
</sst>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17" fontId="0" fillId="0" borderId="0" xfId="0" applyNumberFormat="1"/>
    <xf numFmtId="0" fontId="0" fillId="33" borderId="0" xfId="0" applyFill="1" applyAlignment="1">
      <alignment wrapText="1"/>
    </xf>
    <xf numFmtId="0" fontId="0" fillId="0" borderId="0" xfId="0" applyAlignment="1">
      <alignment horizontal="right"/>
    </xf>
    <xf numFmtId="0" fontId="0" fillId="34" borderId="0" xfId="0" applyFill="1" applyAlignment="1">
      <alignment wrapText="1"/>
    </xf>
    <xf numFmtId="0" fontId="0" fillId="35" borderId="0" xfId="0" applyFill="1" applyAlignment="1">
      <alignment wrapText="1"/>
    </xf>
    <xf numFmtId="0" fontId="0" fillId="36" borderId="0" xfId="0" applyFill="1" applyAlignment="1">
      <alignment wrapText="1"/>
    </xf>
    <xf numFmtId="0" fontId="0" fillId="37" borderId="0" xfId="0" applyFill="1" applyAlignment="1">
      <alignment wrapText="1"/>
    </xf>
    <xf numFmtId="0" fontId="0" fillId="37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Compara índice dessazonalizado IBGE x método médias móveis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'STP-20250425103853641'!$H$1</c:f>
              <c:strCache>
                <c:ptCount val="1"/>
                <c:pt idx="0">
                  <c:v>IBGE
y_sa_t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'STP-20250425103853641'!$F$2:$F$125</c:f>
              <c:numCache>
                <c:formatCode>mmm\-yy</c:formatCode>
                <c:ptCount val="124"/>
                <c:pt idx="0">
                  <c:v>34759</c:v>
                </c:pt>
                <c:pt idx="1">
                  <c:v>34851</c:v>
                </c:pt>
                <c:pt idx="2">
                  <c:v>34943</c:v>
                </c:pt>
                <c:pt idx="3">
                  <c:v>35034</c:v>
                </c:pt>
                <c:pt idx="4">
                  <c:v>35125</c:v>
                </c:pt>
                <c:pt idx="5">
                  <c:v>35217</c:v>
                </c:pt>
                <c:pt idx="6">
                  <c:v>35309</c:v>
                </c:pt>
                <c:pt idx="7">
                  <c:v>35400</c:v>
                </c:pt>
                <c:pt idx="8">
                  <c:v>35490</c:v>
                </c:pt>
                <c:pt idx="9">
                  <c:v>35582</c:v>
                </c:pt>
                <c:pt idx="10">
                  <c:v>35674</c:v>
                </c:pt>
                <c:pt idx="11">
                  <c:v>35765</c:v>
                </c:pt>
                <c:pt idx="12">
                  <c:v>35855</c:v>
                </c:pt>
                <c:pt idx="13">
                  <c:v>35947</c:v>
                </c:pt>
                <c:pt idx="14">
                  <c:v>36039</c:v>
                </c:pt>
                <c:pt idx="15">
                  <c:v>36130</c:v>
                </c:pt>
                <c:pt idx="16">
                  <c:v>36220</c:v>
                </c:pt>
                <c:pt idx="17">
                  <c:v>36312</c:v>
                </c:pt>
                <c:pt idx="18">
                  <c:v>36404</c:v>
                </c:pt>
                <c:pt idx="19">
                  <c:v>36495</c:v>
                </c:pt>
                <c:pt idx="20">
                  <c:v>36586</c:v>
                </c:pt>
                <c:pt idx="21">
                  <c:v>36678</c:v>
                </c:pt>
                <c:pt idx="22">
                  <c:v>36770</c:v>
                </c:pt>
                <c:pt idx="23">
                  <c:v>36861</c:v>
                </c:pt>
                <c:pt idx="24">
                  <c:v>36951</c:v>
                </c:pt>
                <c:pt idx="25">
                  <c:v>37043</c:v>
                </c:pt>
                <c:pt idx="26">
                  <c:v>37135</c:v>
                </c:pt>
                <c:pt idx="27">
                  <c:v>37226</c:v>
                </c:pt>
                <c:pt idx="28">
                  <c:v>37316</c:v>
                </c:pt>
                <c:pt idx="29">
                  <c:v>37408</c:v>
                </c:pt>
                <c:pt idx="30">
                  <c:v>37500</c:v>
                </c:pt>
                <c:pt idx="31">
                  <c:v>37591</c:v>
                </c:pt>
                <c:pt idx="32">
                  <c:v>37681</c:v>
                </c:pt>
                <c:pt idx="33">
                  <c:v>37773</c:v>
                </c:pt>
                <c:pt idx="34">
                  <c:v>37865</c:v>
                </c:pt>
                <c:pt idx="35">
                  <c:v>37956</c:v>
                </c:pt>
                <c:pt idx="36">
                  <c:v>38047</c:v>
                </c:pt>
                <c:pt idx="37">
                  <c:v>38139</c:v>
                </c:pt>
                <c:pt idx="38">
                  <c:v>38231</c:v>
                </c:pt>
                <c:pt idx="39">
                  <c:v>38322</c:v>
                </c:pt>
                <c:pt idx="40">
                  <c:v>38412</c:v>
                </c:pt>
                <c:pt idx="41">
                  <c:v>38504</c:v>
                </c:pt>
                <c:pt idx="42">
                  <c:v>38596</c:v>
                </c:pt>
                <c:pt idx="43">
                  <c:v>38687</c:v>
                </c:pt>
                <c:pt idx="44">
                  <c:v>38777</c:v>
                </c:pt>
                <c:pt idx="45">
                  <c:v>38869</c:v>
                </c:pt>
                <c:pt idx="46">
                  <c:v>38961</c:v>
                </c:pt>
                <c:pt idx="47">
                  <c:v>39052</c:v>
                </c:pt>
                <c:pt idx="48">
                  <c:v>39142</c:v>
                </c:pt>
                <c:pt idx="49">
                  <c:v>39234</c:v>
                </c:pt>
                <c:pt idx="50">
                  <c:v>39326</c:v>
                </c:pt>
                <c:pt idx="51">
                  <c:v>39417</c:v>
                </c:pt>
                <c:pt idx="52">
                  <c:v>39508</c:v>
                </c:pt>
                <c:pt idx="53">
                  <c:v>39600</c:v>
                </c:pt>
                <c:pt idx="54">
                  <c:v>39692</c:v>
                </c:pt>
                <c:pt idx="55">
                  <c:v>39783</c:v>
                </c:pt>
                <c:pt idx="56">
                  <c:v>39873</c:v>
                </c:pt>
                <c:pt idx="57">
                  <c:v>39965</c:v>
                </c:pt>
                <c:pt idx="58">
                  <c:v>40057</c:v>
                </c:pt>
                <c:pt idx="59">
                  <c:v>40148</c:v>
                </c:pt>
                <c:pt idx="60">
                  <c:v>40238</c:v>
                </c:pt>
                <c:pt idx="61">
                  <c:v>40330</c:v>
                </c:pt>
                <c:pt idx="62">
                  <c:v>40422</c:v>
                </c:pt>
                <c:pt idx="63">
                  <c:v>40513</c:v>
                </c:pt>
                <c:pt idx="64">
                  <c:v>40603</c:v>
                </c:pt>
                <c:pt idx="65">
                  <c:v>40695</c:v>
                </c:pt>
                <c:pt idx="66">
                  <c:v>40787</c:v>
                </c:pt>
                <c:pt idx="67">
                  <c:v>40878</c:v>
                </c:pt>
                <c:pt idx="68">
                  <c:v>40969</c:v>
                </c:pt>
                <c:pt idx="69">
                  <c:v>41061</c:v>
                </c:pt>
                <c:pt idx="70">
                  <c:v>41153</c:v>
                </c:pt>
                <c:pt idx="71">
                  <c:v>41244</c:v>
                </c:pt>
                <c:pt idx="72">
                  <c:v>41334</c:v>
                </c:pt>
                <c:pt idx="73">
                  <c:v>41426</c:v>
                </c:pt>
                <c:pt idx="74">
                  <c:v>41518</c:v>
                </c:pt>
                <c:pt idx="75">
                  <c:v>41609</c:v>
                </c:pt>
                <c:pt idx="76">
                  <c:v>41699</c:v>
                </c:pt>
                <c:pt idx="77">
                  <c:v>41791</c:v>
                </c:pt>
                <c:pt idx="78">
                  <c:v>41883</c:v>
                </c:pt>
                <c:pt idx="79">
                  <c:v>41974</c:v>
                </c:pt>
                <c:pt idx="80">
                  <c:v>42064</c:v>
                </c:pt>
                <c:pt idx="81">
                  <c:v>42156</c:v>
                </c:pt>
                <c:pt idx="82">
                  <c:v>42248</c:v>
                </c:pt>
                <c:pt idx="83">
                  <c:v>42339</c:v>
                </c:pt>
                <c:pt idx="84">
                  <c:v>42430</c:v>
                </c:pt>
                <c:pt idx="85">
                  <c:v>42522</c:v>
                </c:pt>
                <c:pt idx="86">
                  <c:v>42614</c:v>
                </c:pt>
                <c:pt idx="87">
                  <c:v>42705</c:v>
                </c:pt>
                <c:pt idx="88">
                  <c:v>42795</c:v>
                </c:pt>
                <c:pt idx="89">
                  <c:v>42887</c:v>
                </c:pt>
                <c:pt idx="90">
                  <c:v>42979</c:v>
                </c:pt>
                <c:pt idx="91">
                  <c:v>43070</c:v>
                </c:pt>
                <c:pt idx="92">
                  <c:v>43160</c:v>
                </c:pt>
                <c:pt idx="93">
                  <c:v>43252</c:v>
                </c:pt>
                <c:pt idx="94">
                  <c:v>43344</c:v>
                </c:pt>
                <c:pt idx="95">
                  <c:v>43435</c:v>
                </c:pt>
                <c:pt idx="96">
                  <c:v>43525</c:v>
                </c:pt>
                <c:pt idx="97">
                  <c:v>43617</c:v>
                </c:pt>
                <c:pt idx="98">
                  <c:v>43709</c:v>
                </c:pt>
                <c:pt idx="99">
                  <c:v>43800</c:v>
                </c:pt>
                <c:pt idx="100">
                  <c:v>43891</c:v>
                </c:pt>
                <c:pt idx="101">
                  <c:v>43983</c:v>
                </c:pt>
                <c:pt idx="102">
                  <c:v>44075</c:v>
                </c:pt>
                <c:pt idx="103">
                  <c:v>44166</c:v>
                </c:pt>
                <c:pt idx="104">
                  <c:v>44256</c:v>
                </c:pt>
                <c:pt idx="105">
                  <c:v>44348</c:v>
                </c:pt>
                <c:pt idx="106">
                  <c:v>44440</c:v>
                </c:pt>
                <c:pt idx="107">
                  <c:v>44531</c:v>
                </c:pt>
                <c:pt idx="108">
                  <c:v>44621</c:v>
                </c:pt>
                <c:pt idx="109">
                  <c:v>44713</c:v>
                </c:pt>
                <c:pt idx="110">
                  <c:v>44805</c:v>
                </c:pt>
                <c:pt idx="111">
                  <c:v>44896</c:v>
                </c:pt>
                <c:pt idx="112">
                  <c:v>44986</c:v>
                </c:pt>
                <c:pt idx="113">
                  <c:v>45078</c:v>
                </c:pt>
                <c:pt idx="114">
                  <c:v>45170</c:v>
                </c:pt>
                <c:pt idx="115">
                  <c:v>45261</c:v>
                </c:pt>
                <c:pt idx="116">
                  <c:v>45352</c:v>
                </c:pt>
                <c:pt idx="117">
                  <c:v>45444</c:v>
                </c:pt>
                <c:pt idx="118">
                  <c:v>45536</c:v>
                </c:pt>
                <c:pt idx="119">
                  <c:v>45627</c:v>
                </c:pt>
              </c:numCache>
            </c:numRef>
          </c:cat>
          <c:val>
            <c:numRef>
              <c:f>'STP-20250425103853641'!$H$2:$H$125</c:f>
              <c:numCache>
                <c:formatCode>General</c:formatCode>
                <c:ptCount val="124"/>
                <c:pt idx="4">
                  <c:v>99.4</c:v>
                </c:pt>
                <c:pt idx="5">
                  <c:v>100.66</c:v>
                </c:pt>
                <c:pt idx="6">
                  <c:v>104.15</c:v>
                </c:pt>
                <c:pt idx="7">
                  <c:v>103.38</c:v>
                </c:pt>
                <c:pt idx="8">
                  <c:v>104.42</c:v>
                </c:pt>
                <c:pt idx="9">
                  <c:v>105</c:v>
                </c:pt>
                <c:pt idx="10">
                  <c:v>106.13</c:v>
                </c:pt>
                <c:pt idx="11">
                  <c:v>107.22</c:v>
                </c:pt>
                <c:pt idx="12">
                  <c:v>105.1</c:v>
                </c:pt>
                <c:pt idx="13">
                  <c:v>106.81</c:v>
                </c:pt>
                <c:pt idx="14">
                  <c:v>106.72</c:v>
                </c:pt>
                <c:pt idx="15">
                  <c:v>105.65</c:v>
                </c:pt>
                <c:pt idx="16">
                  <c:v>105.82</c:v>
                </c:pt>
                <c:pt idx="17">
                  <c:v>106.26</c:v>
                </c:pt>
                <c:pt idx="18">
                  <c:v>106.37</c:v>
                </c:pt>
                <c:pt idx="19">
                  <c:v>107.83</c:v>
                </c:pt>
                <c:pt idx="20">
                  <c:v>109</c:v>
                </c:pt>
                <c:pt idx="21">
                  <c:v>110.45</c:v>
                </c:pt>
                <c:pt idx="22">
                  <c:v>111.97</c:v>
                </c:pt>
                <c:pt idx="23">
                  <c:v>113.24</c:v>
                </c:pt>
                <c:pt idx="24">
                  <c:v>113.5</c:v>
                </c:pt>
                <c:pt idx="25">
                  <c:v>113.09</c:v>
                </c:pt>
                <c:pt idx="26">
                  <c:v>112.59</c:v>
                </c:pt>
                <c:pt idx="27">
                  <c:v>112.06</c:v>
                </c:pt>
                <c:pt idx="28">
                  <c:v>114.91</c:v>
                </c:pt>
                <c:pt idx="29">
                  <c:v>115.32</c:v>
                </c:pt>
                <c:pt idx="30">
                  <c:v>116.76</c:v>
                </c:pt>
                <c:pt idx="31">
                  <c:v>117.91</c:v>
                </c:pt>
                <c:pt idx="32">
                  <c:v>117.52</c:v>
                </c:pt>
                <c:pt idx="33">
                  <c:v>116.54</c:v>
                </c:pt>
                <c:pt idx="34">
                  <c:v>117.52</c:v>
                </c:pt>
                <c:pt idx="35">
                  <c:v>118.74</c:v>
                </c:pt>
                <c:pt idx="36">
                  <c:v>120.5</c:v>
                </c:pt>
                <c:pt idx="37">
                  <c:v>123.75</c:v>
                </c:pt>
                <c:pt idx="38">
                  <c:v>125.29</c:v>
                </c:pt>
                <c:pt idx="39">
                  <c:v>126.31</c:v>
                </c:pt>
                <c:pt idx="40">
                  <c:v>127.37</c:v>
                </c:pt>
                <c:pt idx="41">
                  <c:v>128.77000000000001</c:v>
                </c:pt>
                <c:pt idx="42">
                  <c:v>128.01</c:v>
                </c:pt>
                <c:pt idx="43">
                  <c:v>129.77000000000001</c:v>
                </c:pt>
                <c:pt idx="44">
                  <c:v>131.61000000000001</c:v>
                </c:pt>
                <c:pt idx="45">
                  <c:v>132.16999999999999</c:v>
                </c:pt>
                <c:pt idx="46">
                  <c:v>134.38</c:v>
                </c:pt>
                <c:pt idx="47">
                  <c:v>136.04</c:v>
                </c:pt>
                <c:pt idx="48">
                  <c:v>138.4</c:v>
                </c:pt>
                <c:pt idx="49">
                  <c:v>140.83000000000001</c:v>
                </c:pt>
                <c:pt idx="50">
                  <c:v>142.28</c:v>
                </c:pt>
                <c:pt idx="51">
                  <c:v>144.36000000000001</c:v>
                </c:pt>
                <c:pt idx="52">
                  <c:v>146.28</c:v>
                </c:pt>
                <c:pt idx="53">
                  <c:v>149.28</c:v>
                </c:pt>
                <c:pt idx="54">
                  <c:v>151.52000000000001</c:v>
                </c:pt>
                <c:pt idx="55">
                  <c:v>145.87</c:v>
                </c:pt>
                <c:pt idx="56">
                  <c:v>143.91999999999999</c:v>
                </c:pt>
                <c:pt idx="57">
                  <c:v>146.46</c:v>
                </c:pt>
                <c:pt idx="58">
                  <c:v>149.91</c:v>
                </c:pt>
                <c:pt idx="59">
                  <c:v>153.66999999999999</c:v>
                </c:pt>
                <c:pt idx="60">
                  <c:v>156.97999999999999</c:v>
                </c:pt>
                <c:pt idx="61">
                  <c:v>158.94</c:v>
                </c:pt>
                <c:pt idx="62">
                  <c:v>160.35</c:v>
                </c:pt>
                <c:pt idx="63">
                  <c:v>162.55000000000001</c:v>
                </c:pt>
                <c:pt idx="64">
                  <c:v>164.92</c:v>
                </c:pt>
                <c:pt idx="65">
                  <c:v>166.39</c:v>
                </c:pt>
                <c:pt idx="66">
                  <c:v>166.11</c:v>
                </c:pt>
                <c:pt idx="67">
                  <c:v>167.66</c:v>
                </c:pt>
                <c:pt idx="68">
                  <c:v>165.34</c:v>
                </c:pt>
                <c:pt idx="69">
                  <c:v>168.17</c:v>
                </c:pt>
                <c:pt idx="70">
                  <c:v>171.09</c:v>
                </c:pt>
                <c:pt idx="71">
                  <c:v>171.21</c:v>
                </c:pt>
                <c:pt idx="72">
                  <c:v>172.04</c:v>
                </c:pt>
                <c:pt idx="73">
                  <c:v>174.52</c:v>
                </c:pt>
                <c:pt idx="74">
                  <c:v>175.25</c:v>
                </c:pt>
                <c:pt idx="75">
                  <c:v>175.57</c:v>
                </c:pt>
                <c:pt idx="76">
                  <c:v>176.88</c:v>
                </c:pt>
                <c:pt idx="77">
                  <c:v>174.56</c:v>
                </c:pt>
                <c:pt idx="78">
                  <c:v>174.39</c:v>
                </c:pt>
                <c:pt idx="79">
                  <c:v>175.15</c:v>
                </c:pt>
                <c:pt idx="80">
                  <c:v>173.73</c:v>
                </c:pt>
                <c:pt idx="81">
                  <c:v>169.78</c:v>
                </c:pt>
                <c:pt idx="82">
                  <c:v>167.13</c:v>
                </c:pt>
                <c:pt idx="83">
                  <c:v>165.51</c:v>
                </c:pt>
                <c:pt idx="84">
                  <c:v>163.25</c:v>
                </c:pt>
                <c:pt idx="85">
                  <c:v>163.74</c:v>
                </c:pt>
                <c:pt idx="86">
                  <c:v>162.91</c:v>
                </c:pt>
                <c:pt idx="87">
                  <c:v>162.76</c:v>
                </c:pt>
                <c:pt idx="88">
                  <c:v>164.34</c:v>
                </c:pt>
                <c:pt idx="89">
                  <c:v>165.63</c:v>
                </c:pt>
                <c:pt idx="90">
                  <c:v>166.16</c:v>
                </c:pt>
                <c:pt idx="91">
                  <c:v>167.15</c:v>
                </c:pt>
                <c:pt idx="92">
                  <c:v>167.93</c:v>
                </c:pt>
                <c:pt idx="93">
                  <c:v>167.9</c:v>
                </c:pt>
                <c:pt idx="94">
                  <c:v>169.4</c:v>
                </c:pt>
                <c:pt idx="95">
                  <c:v>169.07</c:v>
                </c:pt>
                <c:pt idx="96">
                  <c:v>169.54</c:v>
                </c:pt>
                <c:pt idx="97">
                  <c:v>170.56</c:v>
                </c:pt>
                <c:pt idx="98">
                  <c:v>170.49</c:v>
                </c:pt>
                <c:pt idx="99">
                  <c:v>171.9</c:v>
                </c:pt>
                <c:pt idx="100">
                  <c:v>168.1</c:v>
                </c:pt>
                <c:pt idx="101">
                  <c:v>153.26</c:v>
                </c:pt>
                <c:pt idx="102">
                  <c:v>165.33</c:v>
                </c:pt>
                <c:pt idx="103">
                  <c:v>171.46</c:v>
                </c:pt>
                <c:pt idx="104">
                  <c:v>173.15</c:v>
                </c:pt>
                <c:pt idx="105">
                  <c:v>172.05</c:v>
                </c:pt>
                <c:pt idx="106">
                  <c:v>172.24</c:v>
                </c:pt>
                <c:pt idx="107">
                  <c:v>174.3</c:v>
                </c:pt>
                <c:pt idx="108">
                  <c:v>175.79</c:v>
                </c:pt>
                <c:pt idx="109">
                  <c:v>177.78</c:v>
                </c:pt>
                <c:pt idx="110">
                  <c:v>179.45</c:v>
                </c:pt>
                <c:pt idx="111">
                  <c:v>180.39</c:v>
                </c:pt>
                <c:pt idx="112">
                  <c:v>182.85</c:v>
                </c:pt>
                <c:pt idx="113">
                  <c:v>184.19</c:v>
                </c:pt>
                <c:pt idx="114">
                  <c:v>184.35</c:v>
                </c:pt>
                <c:pt idx="115">
                  <c:v>185.08</c:v>
                </c:pt>
                <c:pt idx="116">
                  <c:v>186.91</c:v>
                </c:pt>
                <c:pt idx="117">
                  <c:v>189.37</c:v>
                </c:pt>
                <c:pt idx="118">
                  <c:v>190.78</c:v>
                </c:pt>
                <c:pt idx="119">
                  <c:v>191.11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76-4E50-B31D-D3DF74A6E193}"/>
            </c:ext>
          </c:extLst>
        </c:ser>
        <c:ser>
          <c:idx val="2"/>
          <c:order val="2"/>
          <c:tx>
            <c:strRef>
              <c:f>'STP-20250425103853641'!$S$1</c:f>
              <c:strCache>
                <c:ptCount val="1"/>
                <c:pt idx="0">
                  <c:v>y_sa_t
MÉTODO MÉDIAS MÓVEIS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'STP-20250425103853641'!$F$2:$F$125</c:f>
              <c:numCache>
                <c:formatCode>mmm\-yy</c:formatCode>
                <c:ptCount val="124"/>
                <c:pt idx="0">
                  <c:v>34759</c:v>
                </c:pt>
                <c:pt idx="1">
                  <c:v>34851</c:v>
                </c:pt>
                <c:pt idx="2">
                  <c:v>34943</c:v>
                </c:pt>
                <c:pt idx="3">
                  <c:v>35034</c:v>
                </c:pt>
                <c:pt idx="4">
                  <c:v>35125</c:v>
                </c:pt>
                <c:pt idx="5">
                  <c:v>35217</c:v>
                </c:pt>
                <c:pt idx="6">
                  <c:v>35309</c:v>
                </c:pt>
                <c:pt idx="7">
                  <c:v>35400</c:v>
                </c:pt>
                <c:pt idx="8">
                  <c:v>35490</c:v>
                </c:pt>
                <c:pt idx="9">
                  <c:v>35582</c:v>
                </c:pt>
                <c:pt idx="10">
                  <c:v>35674</c:v>
                </c:pt>
                <c:pt idx="11">
                  <c:v>35765</c:v>
                </c:pt>
                <c:pt idx="12">
                  <c:v>35855</c:v>
                </c:pt>
                <c:pt idx="13">
                  <c:v>35947</c:v>
                </c:pt>
                <c:pt idx="14">
                  <c:v>36039</c:v>
                </c:pt>
                <c:pt idx="15">
                  <c:v>36130</c:v>
                </c:pt>
                <c:pt idx="16">
                  <c:v>36220</c:v>
                </c:pt>
                <c:pt idx="17">
                  <c:v>36312</c:v>
                </c:pt>
                <c:pt idx="18">
                  <c:v>36404</c:v>
                </c:pt>
                <c:pt idx="19">
                  <c:v>36495</c:v>
                </c:pt>
                <c:pt idx="20">
                  <c:v>36586</c:v>
                </c:pt>
                <c:pt idx="21">
                  <c:v>36678</c:v>
                </c:pt>
                <c:pt idx="22">
                  <c:v>36770</c:v>
                </c:pt>
                <c:pt idx="23">
                  <c:v>36861</c:v>
                </c:pt>
                <c:pt idx="24">
                  <c:v>36951</c:v>
                </c:pt>
                <c:pt idx="25">
                  <c:v>37043</c:v>
                </c:pt>
                <c:pt idx="26">
                  <c:v>37135</c:v>
                </c:pt>
                <c:pt idx="27">
                  <c:v>37226</c:v>
                </c:pt>
                <c:pt idx="28">
                  <c:v>37316</c:v>
                </c:pt>
                <c:pt idx="29">
                  <c:v>37408</c:v>
                </c:pt>
                <c:pt idx="30">
                  <c:v>37500</c:v>
                </c:pt>
                <c:pt idx="31">
                  <c:v>37591</c:v>
                </c:pt>
                <c:pt idx="32">
                  <c:v>37681</c:v>
                </c:pt>
                <c:pt idx="33">
                  <c:v>37773</c:v>
                </c:pt>
                <c:pt idx="34">
                  <c:v>37865</c:v>
                </c:pt>
                <c:pt idx="35">
                  <c:v>37956</c:v>
                </c:pt>
                <c:pt idx="36">
                  <c:v>38047</c:v>
                </c:pt>
                <c:pt idx="37">
                  <c:v>38139</c:v>
                </c:pt>
                <c:pt idx="38">
                  <c:v>38231</c:v>
                </c:pt>
                <c:pt idx="39">
                  <c:v>38322</c:v>
                </c:pt>
                <c:pt idx="40">
                  <c:v>38412</c:v>
                </c:pt>
                <c:pt idx="41">
                  <c:v>38504</c:v>
                </c:pt>
                <c:pt idx="42">
                  <c:v>38596</c:v>
                </c:pt>
                <c:pt idx="43">
                  <c:v>38687</c:v>
                </c:pt>
                <c:pt idx="44">
                  <c:v>38777</c:v>
                </c:pt>
                <c:pt idx="45">
                  <c:v>38869</c:v>
                </c:pt>
                <c:pt idx="46">
                  <c:v>38961</c:v>
                </c:pt>
                <c:pt idx="47">
                  <c:v>39052</c:v>
                </c:pt>
                <c:pt idx="48">
                  <c:v>39142</c:v>
                </c:pt>
                <c:pt idx="49">
                  <c:v>39234</c:v>
                </c:pt>
                <c:pt idx="50">
                  <c:v>39326</c:v>
                </c:pt>
                <c:pt idx="51">
                  <c:v>39417</c:v>
                </c:pt>
                <c:pt idx="52">
                  <c:v>39508</c:v>
                </c:pt>
                <c:pt idx="53">
                  <c:v>39600</c:v>
                </c:pt>
                <c:pt idx="54">
                  <c:v>39692</c:v>
                </c:pt>
                <c:pt idx="55">
                  <c:v>39783</c:v>
                </c:pt>
                <c:pt idx="56">
                  <c:v>39873</c:v>
                </c:pt>
                <c:pt idx="57">
                  <c:v>39965</c:v>
                </c:pt>
                <c:pt idx="58">
                  <c:v>40057</c:v>
                </c:pt>
                <c:pt idx="59">
                  <c:v>40148</c:v>
                </c:pt>
                <c:pt idx="60">
                  <c:v>40238</c:v>
                </c:pt>
                <c:pt idx="61">
                  <c:v>40330</c:v>
                </c:pt>
                <c:pt idx="62">
                  <c:v>40422</c:v>
                </c:pt>
                <c:pt idx="63">
                  <c:v>40513</c:v>
                </c:pt>
                <c:pt idx="64">
                  <c:v>40603</c:v>
                </c:pt>
                <c:pt idx="65">
                  <c:v>40695</c:v>
                </c:pt>
                <c:pt idx="66">
                  <c:v>40787</c:v>
                </c:pt>
                <c:pt idx="67">
                  <c:v>40878</c:v>
                </c:pt>
                <c:pt idx="68">
                  <c:v>40969</c:v>
                </c:pt>
                <c:pt idx="69">
                  <c:v>41061</c:v>
                </c:pt>
                <c:pt idx="70">
                  <c:v>41153</c:v>
                </c:pt>
                <c:pt idx="71">
                  <c:v>41244</c:v>
                </c:pt>
                <c:pt idx="72">
                  <c:v>41334</c:v>
                </c:pt>
                <c:pt idx="73">
                  <c:v>41426</c:v>
                </c:pt>
                <c:pt idx="74">
                  <c:v>41518</c:v>
                </c:pt>
                <c:pt idx="75">
                  <c:v>41609</c:v>
                </c:pt>
                <c:pt idx="76">
                  <c:v>41699</c:v>
                </c:pt>
                <c:pt idx="77">
                  <c:v>41791</c:v>
                </c:pt>
                <c:pt idx="78">
                  <c:v>41883</c:v>
                </c:pt>
                <c:pt idx="79">
                  <c:v>41974</c:v>
                </c:pt>
                <c:pt idx="80">
                  <c:v>42064</c:v>
                </c:pt>
                <c:pt idx="81">
                  <c:v>42156</c:v>
                </c:pt>
                <c:pt idx="82">
                  <c:v>42248</c:v>
                </c:pt>
                <c:pt idx="83">
                  <c:v>42339</c:v>
                </c:pt>
                <c:pt idx="84">
                  <c:v>42430</c:v>
                </c:pt>
                <c:pt idx="85">
                  <c:v>42522</c:v>
                </c:pt>
                <c:pt idx="86">
                  <c:v>42614</c:v>
                </c:pt>
                <c:pt idx="87">
                  <c:v>42705</c:v>
                </c:pt>
                <c:pt idx="88">
                  <c:v>42795</c:v>
                </c:pt>
                <c:pt idx="89">
                  <c:v>42887</c:v>
                </c:pt>
                <c:pt idx="90">
                  <c:v>42979</c:v>
                </c:pt>
                <c:pt idx="91">
                  <c:v>43070</c:v>
                </c:pt>
                <c:pt idx="92">
                  <c:v>43160</c:v>
                </c:pt>
                <c:pt idx="93">
                  <c:v>43252</c:v>
                </c:pt>
                <c:pt idx="94">
                  <c:v>43344</c:v>
                </c:pt>
                <c:pt idx="95">
                  <c:v>43435</c:v>
                </c:pt>
                <c:pt idx="96">
                  <c:v>43525</c:v>
                </c:pt>
                <c:pt idx="97">
                  <c:v>43617</c:v>
                </c:pt>
                <c:pt idx="98">
                  <c:v>43709</c:v>
                </c:pt>
                <c:pt idx="99">
                  <c:v>43800</c:v>
                </c:pt>
                <c:pt idx="100">
                  <c:v>43891</c:v>
                </c:pt>
                <c:pt idx="101">
                  <c:v>43983</c:v>
                </c:pt>
                <c:pt idx="102">
                  <c:v>44075</c:v>
                </c:pt>
                <c:pt idx="103">
                  <c:v>44166</c:v>
                </c:pt>
                <c:pt idx="104">
                  <c:v>44256</c:v>
                </c:pt>
                <c:pt idx="105">
                  <c:v>44348</c:v>
                </c:pt>
                <c:pt idx="106">
                  <c:v>44440</c:v>
                </c:pt>
                <c:pt idx="107">
                  <c:v>44531</c:v>
                </c:pt>
                <c:pt idx="108">
                  <c:v>44621</c:v>
                </c:pt>
                <c:pt idx="109">
                  <c:v>44713</c:v>
                </c:pt>
                <c:pt idx="110">
                  <c:v>44805</c:v>
                </c:pt>
                <c:pt idx="111">
                  <c:v>44896</c:v>
                </c:pt>
                <c:pt idx="112">
                  <c:v>44986</c:v>
                </c:pt>
                <c:pt idx="113">
                  <c:v>45078</c:v>
                </c:pt>
                <c:pt idx="114">
                  <c:v>45170</c:v>
                </c:pt>
                <c:pt idx="115">
                  <c:v>45261</c:v>
                </c:pt>
                <c:pt idx="116">
                  <c:v>45352</c:v>
                </c:pt>
                <c:pt idx="117">
                  <c:v>45444</c:v>
                </c:pt>
                <c:pt idx="118">
                  <c:v>45536</c:v>
                </c:pt>
                <c:pt idx="119">
                  <c:v>45627</c:v>
                </c:pt>
              </c:numCache>
            </c:numRef>
          </c:cat>
          <c:val>
            <c:numRef>
              <c:f>'STP-20250425103853641'!$S$2:$S$125</c:f>
              <c:numCache>
                <c:formatCode>General</c:formatCode>
                <c:ptCount val="124"/>
                <c:pt idx="3">
                  <c:v>99.48678818545325</c:v>
                </c:pt>
                <c:pt idx="4">
                  <c:v>99.051898817280332</c:v>
                </c:pt>
                <c:pt idx="5">
                  <c:v>100.43250192482556</c:v>
                </c:pt>
                <c:pt idx="6">
                  <c:v>105.27389684513624</c:v>
                </c:pt>
                <c:pt idx="7">
                  <c:v>103.7746687562463</c:v>
                </c:pt>
                <c:pt idx="8">
                  <c:v>102.41704490473232</c:v>
                </c:pt>
                <c:pt idx="9">
                  <c:v>105.20735918773175</c:v>
                </c:pt>
                <c:pt idx="10">
                  <c:v>107.16287621396398</c:v>
                </c:pt>
                <c:pt idx="11">
                  <c:v>107.65465349547897</c:v>
                </c:pt>
                <c:pt idx="12">
                  <c:v>103.45011406835742</c:v>
                </c:pt>
                <c:pt idx="13">
                  <c:v>106.79229080020903</c:v>
                </c:pt>
                <c:pt idx="14">
                  <c:v>107.54458707087737</c:v>
                </c:pt>
                <c:pt idx="15">
                  <c:v>106.11260827860444</c:v>
                </c:pt>
                <c:pt idx="16">
                  <c:v>104.24792985808767</c:v>
                </c:pt>
                <c:pt idx="17">
                  <c:v>106.37097986524672</c:v>
                </c:pt>
                <c:pt idx="18">
                  <c:v>106.87903993574635</c:v>
                </c:pt>
                <c:pt idx="19">
                  <c:v>108.41075308568841</c:v>
                </c:pt>
                <c:pt idx="20">
                  <c:v>108.83025644525637</c:v>
                </c:pt>
                <c:pt idx="21">
                  <c:v>110.59412042760705</c:v>
                </c:pt>
                <c:pt idx="22">
                  <c:v>111.76298141266369</c:v>
                </c:pt>
                <c:pt idx="23">
                  <c:v>113.39504117377963</c:v>
                </c:pt>
                <c:pt idx="24">
                  <c:v>112.61476724269478</c:v>
                </c:pt>
                <c:pt idx="25">
                  <c:v>113.17214210106691</c:v>
                </c:pt>
                <c:pt idx="26">
                  <c:v>112.27192922188152</c:v>
                </c:pt>
                <c:pt idx="27">
                  <c:v>112.79812044466689</c:v>
                </c:pt>
                <c:pt idx="28">
                  <c:v>113.15687284340895</c:v>
                </c:pt>
                <c:pt idx="29">
                  <c:v>115.77022620000118</c:v>
                </c:pt>
                <c:pt idx="30">
                  <c:v>116.9601215414074</c:v>
                </c:pt>
                <c:pt idx="31">
                  <c:v>118.62804623233446</c:v>
                </c:pt>
                <c:pt idx="32">
                  <c:v>116.17425307379904</c:v>
                </c:pt>
                <c:pt idx="33">
                  <c:v>116.67303534634898</c:v>
                </c:pt>
                <c:pt idx="34">
                  <c:v>117.69418088162544</c:v>
                </c:pt>
                <c:pt idx="35">
                  <c:v>119.32445374963264</c:v>
                </c:pt>
                <c:pt idx="36">
                  <c:v>120.67475240048257</c:v>
                </c:pt>
                <c:pt idx="37">
                  <c:v>124.03594549545227</c:v>
                </c:pt>
                <c:pt idx="38">
                  <c:v>125.41648514071919</c:v>
                </c:pt>
                <c:pt idx="39">
                  <c:v>126.7362194694489</c:v>
                </c:pt>
                <c:pt idx="40">
                  <c:v>125.72758573544091</c:v>
                </c:pt>
                <c:pt idx="41">
                  <c:v>129.58320613912272</c:v>
                </c:pt>
                <c:pt idx="42">
                  <c:v>128.06888622337371</c:v>
                </c:pt>
                <c:pt idx="43">
                  <c:v>129.46215746573031</c:v>
                </c:pt>
                <c:pt idx="44">
                  <c:v>131.10772811233986</c:v>
                </c:pt>
                <c:pt idx="45">
                  <c:v>132.54241389659609</c:v>
                </c:pt>
                <c:pt idx="46">
                  <c:v>133.81412399281356</c:v>
                </c:pt>
                <c:pt idx="47">
                  <c:v>135.67013304850261</c:v>
                </c:pt>
                <c:pt idx="48">
                  <c:v>137.91984754772903</c:v>
                </c:pt>
                <c:pt idx="49">
                  <c:v>141.20938170153511</c:v>
                </c:pt>
                <c:pt idx="50">
                  <c:v>141.67345266208136</c:v>
                </c:pt>
                <c:pt idx="51">
                  <c:v>144.68363605810467</c:v>
                </c:pt>
                <c:pt idx="52">
                  <c:v>146.40942582306386</c:v>
                </c:pt>
                <c:pt idx="53">
                  <c:v>150.15722346311563</c:v>
                </c:pt>
                <c:pt idx="54">
                  <c:v>151.56857256822053</c:v>
                </c:pt>
                <c:pt idx="55">
                  <c:v>146.16598920206792</c:v>
                </c:pt>
                <c:pt idx="56">
                  <c:v>142.86016839952026</c:v>
                </c:pt>
                <c:pt idx="57">
                  <c:v>146.84692325984031</c:v>
                </c:pt>
                <c:pt idx="58">
                  <c:v>149.80683015169723</c:v>
                </c:pt>
                <c:pt idx="59">
                  <c:v>153.95580471698892</c:v>
                </c:pt>
                <c:pt idx="60">
                  <c:v>156.01390052250898</c:v>
                </c:pt>
                <c:pt idx="61">
                  <c:v>159.35584554312615</c:v>
                </c:pt>
                <c:pt idx="62">
                  <c:v>160.15217311983676</c:v>
                </c:pt>
                <c:pt idx="63">
                  <c:v>162.71064207730882</c:v>
                </c:pt>
                <c:pt idx="64">
                  <c:v>164.11479931053933</c:v>
                </c:pt>
                <c:pt idx="65">
                  <c:v>166.84916145781298</c:v>
                </c:pt>
                <c:pt idx="66">
                  <c:v>165.80932376845044</c:v>
                </c:pt>
                <c:pt idx="67">
                  <c:v>166.88908718109784</c:v>
                </c:pt>
                <c:pt idx="68">
                  <c:v>166.91738298215589</c:v>
                </c:pt>
                <c:pt idx="69">
                  <c:v>168.49428034671342</c:v>
                </c:pt>
                <c:pt idx="70">
                  <c:v>169.9396309894106</c:v>
                </c:pt>
                <c:pt idx="71">
                  <c:v>171.0277375696127</c:v>
                </c:pt>
                <c:pt idx="72">
                  <c:v>171.45879593908199</c:v>
                </c:pt>
                <c:pt idx="73">
                  <c:v>175.2753801570592</c:v>
                </c:pt>
                <c:pt idx="74">
                  <c:v>174.62782330893646</c:v>
                </c:pt>
                <c:pt idx="75">
                  <c:v>175.3554128556799</c:v>
                </c:pt>
                <c:pt idx="76">
                  <c:v>177.41172913937703</c:v>
                </c:pt>
                <c:pt idx="77">
                  <c:v>174.51300798903219</c:v>
                </c:pt>
                <c:pt idx="78">
                  <c:v>173.51205311180507</c:v>
                </c:pt>
                <c:pt idx="79">
                  <c:v>174.95746570293812</c:v>
                </c:pt>
                <c:pt idx="80">
                  <c:v>174.53754661483595</c:v>
                </c:pt>
                <c:pt idx="81">
                  <c:v>169.72811951338878</c:v>
                </c:pt>
                <c:pt idx="82">
                  <c:v>166.11273496240725</c:v>
                </c:pt>
                <c:pt idx="83">
                  <c:v>165.29729857013058</c:v>
                </c:pt>
                <c:pt idx="84">
                  <c:v>165.56723318415084</c:v>
                </c:pt>
                <c:pt idx="85">
                  <c:v>164.26110857161592</c:v>
                </c:pt>
                <c:pt idx="86">
                  <c:v>162.03136503079494</c:v>
                </c:pt>
                <c:pt idx="87">
                  <c:v>161.55659533435752</c:v>
                </c:pt>
                <c:pt idx="88">
                  <c:v>166.03773993194048</c:v>
                </c:pt>
                <c:pt idx="89">
                  <c:v>165.55513501471444</c:v>
                </c:pt>
                <c:pt idx="90">
                  <c:v>164.69355357131903</c:v>
                </c:pt>
                <c:pt idx="91">
                  <c:v>165.72509175932805</c:v>
                </c:pt>
                <c:pt idx="92">
                  <c:v>169.19831786817957</c:v>
                </c:pt>
                <c:pt idx="93">
                  <c:v>168.2334688155463</c:v>
                </c:pt>
                <c:pt idx="94">
                  <c:v>168.08001399419157</c:v>
                </c:pt>
                <c:pt idx="95">
                  <c:v>168.30179957333127</c:v>
                </c:pt>
                <c:pt idx="96">
                  <c:v>170.72235059471561</c:v>
                </c:pt>
                <c:pt idx="97">
                  <c:v>170.20961772477429</c:v>
                </c:pt>
                <c:pt idx="98">
                  <c:v>169.94941844728018</c:v>
                </c:pt>
                <c:pt idx="99">
                  <c:v>171.14712171543525</c:v>
                </c:pt>
                <c:pt idx="100">
                  <c:v>171.42811071640006</c:v>
                </c:pt>
                <c:pt idx="101">
                  <c:v>152.95593181679385</c:v>
                </c:pt>
                <c:pt idx="102">
                  <c:v>164.79142815001478</c:v>
                </c:pt>
                <c:pt idx="103">
                  <c:v>170.58004702277816</c:v>
                </c:pt>
                <c:pt idx="104">
                  <c:v>174.42503413166887</c:v>
                </c:pt>
                <c:pt idx="105">
                  <c:v>171.91492389009792</c:v>
                </c:pt>
                <c:pt idx="106">
                  <c:v>171.73073577954264</c:v>
                </c:pt>
                <c:pt idx="107">
                  <c:v>173.06721672741449</c:v>
                </c:pt>
                <c:pt idx="108">
                  <c:v>177.00259283695127</c:v>
                </c:pt>
                <c:pt idx="109">
                  <c:v>178.00387002157706</c:v>
                </c:pt>
                <c:pt idx="110">
                  <c:v>179.1496288446796</c:v>
                </c:pt>
                <c:pt idx="111">
                  <c:v>177.73314709331225</c:v>
                </c:pt>
                <c:pt idx="112">
                  <c:v>184.86823825108681</c:v>
                </c:pt>
                <c:pt idx="113">
                  <c:v>184.85518832108323</c:v>
                </c:pt>
                <c:pt idx="114">
                  <c:v>183.3680231864659</c:v>
                </c:pt>
                <c:pt idx="115">
                  <c:v>181.961335591194</c:v>
                </c:pt>
                <c:pt idx="116">
                  <c:v>189.59376254410452</c:v>
                </c:pt>
                <c:pt idx="117">
                  <c:v>191.02438415445997</c:v>
                </c:pt>
                <c:pt idx="118">
                  <c:v>190.79670370947247</c:v>
                </c:pt>
                <c:pt idx="119">
                  <c:v>188.53741229025246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76-4E50-B31D-D3DF74A6E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8244303"/>
        <c:axId val="147825054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'STP-20250425103853641'!$G$1</c15:sqref>
                        </c15:formulaRef>
                      </c:ext>
                    </c:extLst>
                    <c:strCache>
                      <c:ptCount val="1"/>
                      <c:pt idx="0">
                        <c:v>IBGE 
y_t</c:v>
                      </c:pt>
                    </c:strCache>
                  </c:strRef>
                </c:tx>
                <c:spPr>
                  <a:ln w="28575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'STP-20250425103853641'!$F$2:$F$125</c15:sqref>
                        </c15:formulaRef>
                      </c:ext>
                    </c:extLst>
                    <c:numCache>
                      <c:formatCode>mmm\-yy</c:formatCode>
                      <c:ptCount val="124"/>
                      <c:pt idx="0">
                        <c:v>34759</c:v>
                      </c:pt>
                      <c:pt idx="1">
                        <c:v>34851</c:v>
                      </c:pt>
                      <c:pt idx="2">
                        <c:v>34943</c:v>
                      </c:pt>
                      <c:pt idx="3">
                        <c:v>35034</c:v>
                      </c:pt>
                      <c:pt idx="4">
                        <c:v>35125</c:v>
                      </c:pt>
                      <c:pt idx="5">
                        <c:v>35217</c:v>
                      </c:pt>
                      <c:pt idx="6">
                        <c:v>35309</c:v>
                      </c:pt>
                      <c:pt idx="7">
                        <c:v>35400</c:v>
                      </c:pt>
                      <c:pt idx="8">
                        <c:v>35490</c:v>
                      </c:pt>
                      <c:pt idx="9">
                        <c:v>35582</c:v>
                      </c:pt>
                      <c:pt idx="10">
                        <c:v>35674</c:v>
                      </c:pt>
                      <c:pt idx="11">
                        <c:v>35765</c:v>
                      </c:pt>
                      <c:pt idx="12">
                        <c:v>35855</c:v>
                      </c:pt>
                      <c:pt idx="13">
                        <c:v>35947</c:v>
                      </c:pt>
                      <c:pt idx="14">
                        <c:v>36039</c:v>
                      </c:pt>
                      <c:pt idx="15">
                        <c:v>36130</c:v>
                      </c:pt>
                      <c:pt idx="16">
                        <c:v>36220</c:v>
                      </c:pt>
                      <c:pt idx="17">
                        <c:v>36312</c:v>
                      </c:pt>
                      <c:pt idx="18">
                        <c:v>36404</c:v>
                      </c:pt>
                      <c:pt idx="19">
                        <c:v>36495</c:v>
                      </c:pt>
                      <c:pt idx="20">
                        <c:v>36586</c:v>
                      </c:pt>
                      <c:pt idx="21">
                        <c:v>36678</c:v>
                      </c:pt>
                      <c:pt idx="22">
                        <c:v>36770</c:v>
                      </c:pt>
                      <c:pt idx="23">
                        <c:v>36861</c:v>
                      </c:pt>
                      <c:pt idx="24">
                        <c:v>36951</c:v>
                      </c:pt>
                      <c:pt idx="25">
                        <c:v>37043</c:v>
                      </c:pt>
                      <c:pt idx="26">
                        <c:v>37135</c:v>
                      </c:pt>
                      <c:pt idx="27">
                        <c:v>37226</c:v>
                      </c:pt>
                      <c:pt idx="28">
                        <c:v>37316</c:v>
                      </c:pt>
                      <c:pt idx="29">
                        <c:v>37408</c:v>
                      </c:pt>
                      <c:pt idx="30">
                        <c:v>37500</c:v>
                      </c:pt>
                      <c:pt idx="31">
                        <c:v>37591</c:v>
                      </c:pt>
                      <c:pt idx="32">
                        <c:v>37681</c:v>
                      </c:pt>
                      <c:pt idx="33">
                        <c:v>37773</c:v>
                      </c:pt>
                      <c:pt idx="34">
                        <c:v>37865</c:v>
                      </c:pt>
                      <c:pt idx="35">
                        <c:v>37956</c:v>
                      </c:pt>
                      <c:pt idx="36">
                        <c:v>38047</c:v>
                      </c:pt>
                      <c:pt idx="37">
                        <c:v>38139</c:v>
                      </c:pt>
                      <c:pt idx="38">
                        <c:v>38231</c:v>
                      </c:pt>
                      <c:pt idx="39">
                        <c:v>38322</c:v>
                      </c:pt>
                      <c:pt idx="40">
                        <c:v>38412</c:v>
                      </c:pt>
                      <c:pt idx="41">
                        <c:v>38504</c:v>
                      </c:pt>
                      <c:pt idx="42">
                        <c:v>38596</c:v>
                      </c:pt>
                      <c:pt idx="43">
                        <c:v>38687</c:v>
                      </c:pt>
                      <c:pt idx="44">
                        <c:v>38777</c:v>
                      </c:pt>
                      <c:pt idx="45">
                        <c:v>38869</c:v>
                      </c:pt>
                      <c:pt idx="46">
                        <c:v>38961</c:v>
                      </c:pt>
                      <c:pt idx="47">
                        <c:v>39052</c:v>
                      </c:pt>
                      <c:pt idx="48">
                        <c:v>39142</c:v>
                      </c:pt>
                      <c:pt idx="49">
                        <c:v>39234</c:v>
                      </c:pt>
                      <c:pt idx="50">
                        <c:v>39326</c:v>
                      </c:pt>
                      <c:pt idx="51">
                        <c:v>39417</c:v>
                      </c:pt>
                      <c:pt idx="52">
                        <c:v>39508</c:v>
                      </c:pt>
                      <c:pt idx="53">
                        <c:v>39600</c:v>
                      </c:pt>
                      <c:pt idx="54">
                        <c:v>39692</c:v>
                      </c:pt>
                      <c:pt idx="55">
                        <c:v>39783</c:v>
                      </c:pt>
                      <c:pt idx="56">
                        <c:v>39873</c:v>
                      </c:pt>
                      <c:pt idx="57">
                        <c:v>39965</c:v>
                      </c:pt>
                      <c:pt idx="58">
                        <c:v>40057</c:v>
                      </c:pt>
                      <c:pt idx="59">
                        <c:v>40148</c:v>
                      </c:pt>
                      <c:pt idx="60">
                        <c:v>40238</c:v>
                      </c:pt>
                      <c:pt idx="61">
                        <c:v>40330</c:v>
                      </c:pt>
                      <c:pt idx="62">
                        <c:v>40422</c:v>
                      </c:pt>
                      <c:pt idx="63">
                        <c:v>40513</c:v>
                      </c:pt>
                      <c:pt idx="64">
                        <c:v>40603</c:v>
                      </c:pt>
                      <c:pt idx="65">
                        <c:v>40695</c:v>
                      </c:pt>
                      <c:pt idx="66">
                        <c:v>40787</c:v>
                      </c:pt>
                      <c:pt idx="67">
                        <c:v>40878</c:v>
                      </c:pt>
                      <c:pt idx="68">
                        <c:v>40969</c:v>
                      </c:pt>
                      <c:pt idx="69">
                        <c:v>41061</c:v>
                      </c:pt>
                      <c:pt idx="70">
                        <c:v>41153</c:v>
                      </c:pt>
                      <c:pt idx="71">
                        <c:v>41244</c:v>
                      </c:pt>
                      <c:pt idx="72">
                        <c:v>41334</c:v>
                      </c:pt>
                      <c:pt idx="73">
                        <c:v>41426</c:v>
                      </c:pt>
                      <c:pt idx="74">
                        <c:v>41518</c:v>
                      </c:pt>
                      <c:pt idx="75">
                        <c:v>41609</c:v>
                      </c:pt>
                      <c:pt idx="76">
                        <c:v>41699</c:v>
                      </c:pt>
                      <c:pt idx="77">
                        <c:v>41791</c:v>
                      </c:pt>
                      <c:pt idx="78">
                        <c:v>41883</c:v>
                      </c:pt>
                      <c:pt idx="79">
                        <c:v>41974</c:v>
                      </c:pt>
                      <c:pt idx="80">
                        <c:v>42064</c:v>
                      </c:pt>
                      <c:pt idx="81">
                        <c:v>42156</c:v>
                      </c:pt>
                      <c:pt idx="82">
                        <c:v>42248</c:v>
                      </c:pt>
                      <c:pt idx="83">
                        <c:v>42339</c:v>
                      </c:pt>
                      <c:pt idx="84">
                        <c:v>42430</c:v>
                      </c:pt>
                      <c:pt idx="85">
                        <c:v>42522</c:v>
                      </c:pt>
                      <c:pt idx="86">
                        <c:v>42614</c:v>
                      </c:pt>
                      <c:pt idx="87">
                        <c:v>42705</c:v>
                      </c:pt>
                      <c:pt idx="88">
                        <c:v>42795</c:v>
                      </c:pt>
                      <c:pt idx="89">
                        <c:v>42887</c:v>
                      </c:pt>
                      <c:pt idx="90">
                        <c:v>42979</c:v>
                      </c:pt>
                      <c:pt idx="91">
                        <c:v>43070</c:v>
                      </c:pt>
                      <c:pt idx="92">
                        <c:v>43160</c:v>
                      </c:pt>
                      <c:pt idx="93">
                        <c:v>43252</c:v>
                      </c:pt>
                      <c:pt idx="94">
                        <c:v>43344</c:v>
                      </c:pt>
                      <c:pt idx="95">
                        <c:v>43435</c:v>
                      </c:pt>
                      <c:pt idx="96">
                        <c:v>43525</c:v>
                      </c:pt>
                      <c:pt idx="97">
                        <c:v>43617</c:v>
                      </c:pt>
                      <c:pt idx="98">
                        <c:v>43709</c:v>
                      </c:pt>
                      <c:pt idx="99">
                        <c:v>43800</c:v>
                      </c:pt>
                      <c:pt idx="100">
                        <c:v>43891</c:v>
                      </c:pt>
                      <c:pt idx="101">
                        <c:v>43983</c:v>
                      </c:pt>
                      <c:pt idx="102">
                        <c:v>44075</c:v>
                      </c:pt>
                      <c:pt idx="103">
                        <c:v>44166</c:v>
                      </c:pt>
                      <c:pt idx="104">
                        <c:v>44256</c:v>
                      </c:pt>
                      <c:pt idx="105">
                        <c:v>44348</c:v>
                      </c:pt>
                      <c:pt idx="106">
                        <c:v>44440</c:v>
                      </c:pt>
                      <c:pt idx="107">
                        <c:v>44531</c:v>
                      </c:pt>
                      <c:pt idx="108">
                        <c:v>44621</c:v>
                      </c:pt>
                      <c:pt idx="109">
                        <c:v>44713</c:v>
                      </c:pt>
                      <c:pt idx="110">
                        <c:v>44805</c:v>
                      </c:pt>
                      <c:pt idx="111">
                        <c:v>44896</c:v>
                      </c:pt>
                      <c:pt idx="112">
                        <c:v>44986</c:v>
                      </c:pt>
                      <c:pt idx="113">
                        <c:v>45078</c:v>
                      </c:pt>
                      <c:pt idx="114">
                        <c:v>45170</c:v>
                      </c:pt>
                      <c:pt idx="115">
                        <c:v>45261</c:v>
                      </c:pt>
                      <c:pt idx="116">
                        <c:v>45352</c:v>
                      </c:pt>
                      <c:pt idx="117">
                        <c:v>45444</c:v>
                      </c:pt>
                      <c:pt idx="118">
                        <c:v>45536</c:v>
                      </c:pt>
                      <c:pt idx="119">
                        <c:v>45627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'STP-20250425103853641'!$G$2:$G$125</c15:sqref>
                        </c15:formulaRef>
                      </c:ext>
                    </c:extLst>
                    <c:numCache>
                      <c:formatCode>General</c:formatCode>
                      <c:ptCount val="124"/>
                      <c:pt idx="3">
                        <c:v>100</c:v>
                      </c:pt>
                      <c:pt idx="4">
                        <c:v>96.84</c:v>
                      </c:pt>
                      <c:pt idx="5">
                        <c:v>100.12</c:v>
                      </c:pt>
                      <c:pt idx="6">
                        <c:v>107.56</c:v>
                      </c:pt>
                      <c:pt idx="7">
                        <c:v>104.31</c:v>
                      </c:pt>
                      <c:pt idx="8">
                        <c:v>100.13</c:v>
                      </c:pt>
                      <c:pt idx="9">
                        <c:v>104.88</c:v>
                      </c:pt>
                      <c:pt idx="10">
                        <c:v>109.49</c:v>
                      </c:pt>
                      <c:pt idx="11">
                        <c:v>108.21</c:v>
                      </c:pt>
                      <c:pt idx="12">
                        <c:v>101.14</c:v>
                      </c:pt>
                      <c:pt idx="13">
                        <c:v>106.46</c:v>
                      </c:pt>
                      <c:pt idx="14">
                        <c:v>109.88</c:v>
                      </c:pt>
                      <c:pt idx="15">
                        <c:v>106.66</c:v>
                      </c:pt>
                      <c:pt idx="16">
                        <c:v>101.92</c:v>
                      </c:pt>
                      <c:pt idx="17">
                        <c:v>106.04</c:v>
                      </c:pt>
                      <c:pt idx="18">
                        <c:v>109.2</c:v>
                      </c:pt>
                      <c:pt idx="19">
                        <c:v>108.97</c:v>
                      </c:pt>
                      <c:pt idx="20">
                        <c:v>106.4</c:v>
                      </c:pt>
                      <c:pt idx="21">
                        <c:v>110.25</c:v>
                      </c:pt>
                      <c:pt idx="22">
                        <c:v>114.19</c:v>
                      </c:pt>
                      <c:pt idx="23">
                        <c:v>113.98</c:v>
                      </c:pt>
                      <c:pt idx="24">
                        <c:v>110.1</c:v>
                      </c:pt>
                      <c:pt idx="25">
                        <c:v>112.82</c:v>
                      </c:pt>
                      <c:pt idx="26">
                        <c:v>114.71</c:v>
                      </c:pt>
                      <c:pt idx="27">
                        <c:v>113.38</c:v>
                      </c:pt>
                      <c:pt idx="28">
                        <c:v>110.63</c:v>
                      </c:pt>
                      <c:pt idx="29">
                        <c:v>115.41</c:v>
                      </c:pt>
                      <c:pt idx="30">
                        <c:v>119.5</c:v>
                      </c:pt>
                      <c:pt idx="31">
                        <c:v>119.24</c:v>
                      </c:pt>
                      <c:pt idx="32">
                        <c:v>113.58</c:v>
                      </c:pt>
                      <c:pt idx="33">
                        <c:v>116.31</c:v>
                      </c:pt>
                      <c:pt idx="34">
                        <c:v>120.25</c:v>
                      </c:pt>
                      <c:pt idx="35">
                        <c:v>119.94</c:v>
                      </c:pt>
                      <c:pt idx="36">
                        <c:v>117.98</c:v>
                      </c:pt>
                      <c:pt idx="37">
                        <c:v>123.65</c:v>
                      </c:pt>
                      <c:pt idx="38">
                        <c:v>128.13999999999999</c:v>
                      </c:pt>
                      <c:pt idx="39">
                        <c:v>127.39</c:v>
                      </c:pt>
                      <c:pt idx="40">
                        <c:v>122.92</c:v>
                      </c:pt>
                      <c:pt idx="41">
                        <c:v>129.18</c:v>
                      </c:pt>
                      <c:pt idx="42">
                        <c:v>130.85</c:v>
                      </c:pt>
                      <c:pt idx="43">
                        <c:v>130.13</c:v>
                      </c:pt>
                      <c:pt idx="44">
                        <c:v>128.18</c:v>
                      </c:pt>
                      <c:pt idx="45">
                        <c:v>132.13</c:v>
                      </c:pt>
                      <c:pt idx="46">
                        <c:v>136.72</c:v>
                      </c:pt>
                      <c:pt idx="47">
                        <c:v>136.37</c:v>
                      </c:pt>
                      <c:pt idx="48">
                        <c:v>134.84</c:v>
                      </c:pt>
                      <c:pt idx="49">
                        <c:v>140.77000000000001</c:v>
                      </c:pt>
                      <c:pt idx="50">
                        <c:v>144.75</c:v>
                      </c:pt>
                      <c:pt idx="51">
                        <c:v>145.43</c:v>
                      </c:pt>
                      <c:pt idx="52">
                        <c:v>143.13999999999999</c:v>
                      </c:pt>
                      <c:pt idx="53">
                        <c:v>149.69</c:v>
                      </c:pt>
                      <c:pt idx="54">
                        <c:v>154.86000000000001</c:v>
                      </c:pt>
                      <c:pt idx="55">
                        <c:v>146.91999999999999</c:v>
                      </c:pt>
                      <c:pt idx="56">
                        <c:v>139.66999999999999</c:v>
                      </c:pt>
                      <c:pt idx="57">
                        <c:v>146.38999999999999</c:v>
                      </c:pt>
                      <c:pt idx="58">
                        <c:v>153.06</c:v>
                      </c:pt>
                      <c:pt idx="59">
                        <c:v>154.75</c:v>
                      </c:pt>
                      <c:pt idx="60">
                        <c:v>152.53</c:v>
                      </c:pt>
                      <c:pt idx="61">
                        <c:v>158.86000000000001</c:v>
                      </c:pt>
                      <c:pt idx="62">
                        <c:v>163.63</c:v>
                      </c:pt>
                      <c:pt idx="63">
                        <c:v>163.55000000000001</c:v>
                      </c:pt>
                      <c:pt idx="64">
                        <c:v>160.44999999999999</c:v>
                      </c:pt>
                      <c:pt idx="65">
                        <c:v>166.33</c:v>
                      </c:pt>
                      <c:pt idx="66">
                        <c:v>169.41</c:v>
                      </c:pt>
                      <c:pt idx="67">
                        <c:v>167.75</c:v>
                      </c:pt>
                      <c:pt idx="68">
                        <c:v>163.19</c:v>
                      </c:pt>
                      <c:pt idx="69">
                        <c:v>167.97</c:v>
                      </c:pt>
                      <c:pt idx="70">
                        <c:v>173.63</c:v>
                      </c:pt>
                      <c:pt idx="71">
                        <c:v>171.91</c:v>
                      </c:pt>
                      <c:pt idx="72">
                        <c:v>167.63</c:v>
                      </c:pt>
                      <c:pt idx="73">
                        <c:v>174.73</c:v>
                      </c:pt>
                      <c:pt idx="74">
                        <c:v>178.42</c:v>
                      </c:pt>
                      <c:pt idx="75">
                        <c:v>176.26</c:v>
                      </c:pt>
                      <c:pt idx="76">
                        <c:v>173.45</c:v>
                      </c:pt>
                      <c:pt idx="77">
                        <c:v>173.97</c:v>
                      </c:pt>
                      <c:pt idx="78">
                        <c:v>177.28</c:v>
                      </c:pt>
                      <c:pt idx="79">
                        <c:v>175.86</c:v>
                      </c:pt>
                      <c:pt idx="80">
                        <c:v>170.64</c:v>
                      </c:pt>
                      <c:pt idx="81">
                        <c:v>169.2</c:v>
                      </c:pt>
                      <c:pt idx="82">
                        <c:v>169.72</c:v>
                      </c:pt>
                      <c:pt idx="83">
                        <c:v>166.15</c:v>
                      </c:pt>
                      <c:pt idx="84">
                        <c:v>161.87</c:v>
                      </c:pt>
                      <c:pt idx="85">
                        <c:v>163.75</c:v>
                      </c:pt>
                      <c:pt idx="86">
                        <c:v>165.55</c:v>
                      </c:pt>
                      <c:pt idx="87">
                        <c:v>162.38999999999999</c:v>
                      </c:pt>
                      <c:pt idx="88">
                        <c:v>162.33000000000001</c:v>
                      </c:pt>
                      <c:pt idx="89">
                        <c:v>165.04</c:v>
                      </c:pt>
                      <c:pt idx="90">
                        <c:v>168.27</c:v>
                      </c:pt>
                      <c:pt idx="91">
                        <c:v>166.58</c:v>
                      </c:pt>
                      <c:pt idx="92">
                        <c:v>165.42</c:v>
                      </c:pt>
                      <c:pt idx="93">
                        <c:v>167.71</c:v>
                      </c:pt>
                      <c:pt idx="94">
                        <c:v>171.73</c:v>
                      </c:pt>
                      <c:pt idx="95">
                        <c:v>169.17</c:v>
                      </c:pt>
                      <c:pt idx="96">
                        <c:v>166.91</c:v>
                      </c:pt>
                      <c:pt idx="97">
                        <c:v>169.68</c:v>
                      </c:pt>
                      <c:pt idx="98">
                        <c:v>173.64</c:v>
                      </c:pt>
                      <c:pt idx="99">
                        <c:v>172.03</c:v>
                      </c:pt>
                      <c:pt idx="100">
                        <c:v>167.6</c:v>
                      </c:pt>
                      <c:pt idx="101">
                        <c:v>152.47999999999999</c:v>
                      </c:pt>
                      <c:pt idx="102">
                        <c:v>168.37</c:v>
                      </c:pt>
                      <c:pt idx="103">
                        <c:v>171.46</c:v>
                      </c:pt>
                      <c:pt idx="104">
                        <c:v>170.53</c:v>
                      </c:pt>
                      <c:pt idx="105">
                        <c:v>171.38</c:v>
                      </c:pt>
                      <c:pt idx="106">
                        <c:v>175.46</c:v>
                      </c:pt>
                      <c:pt idx="107">
                        <c:v>173.96</c:v>
                      </c:pt>
                      <c:pt idx="108">
                        <c:v>173.05</c:v>
                      </c:pt>
                      <c:pt idx="109">
                        <c:v>177.45</c:v>
                      </c:pt>
                      <c:pt idx="110">
                        <c:v>183.04</c:v>
                      </c:pt>
                      <c:pt idx="111">
                        <c:v>178.65</c:v>
                      </c:pt>
                      <c:pt idx="112">
                        <c:v>180.74</c:v>
                      </c:pt>
                      <c:pt idx="113">
                        <c:v>184.28</c:v>
                      </c:pt>
                      <c:pt idx="114">
                        <c:v>187.35</c:v>
                      </c:pt>
                      <c:pt idx="115">
                        <c:v>182.9</c:v>
                      </c:pt>
                      <c:pt idx="116">
                        <c:v>185.36</c:v>
                      </c:pt>
                      <c:pt idx="117">
                        <c:v>190.43</c:v>
                      </c:pt>
                      <c:pt idx="118">
                        <c:v>194.94</c:v>
                      </c:pt>
                      <c:pt idx="119">
                        <c:v>189.51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176-4E50-B31D-D3DF74A6E193}"/>
                  </c:ext>
                </c:extLst>
              </c15:ser>
            </c15:filteredLineSeries>
          </c:ext>
        </c:extLst>
      </c:lineChart>
      <c:dateAx>
        <c:axId val="147824430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8250543"/>
        <c:crosses val="autoZero"/>
        <c:auto val="1"/>
        <c:lblOffset val="100"/>
        <c:baseTimeUnit val="months"/>
        <c:majorUnit val="1"/>
        <c:majorTimeUnit val="years"/>
      </c:dateAx>
      <c:valAx>
        <c:axId val="1478250543"/>
        <c:scaling>
          <c:orientation val="minMax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8244303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9617706700701903"/>
          <c:y val="0.8853203289480901"/>
          <c:w val="0.66424251769239562"/>
          <c:h val="9.42923166696587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Compara IBGE índice observado x ajustado saz. x média móvel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'STP-20250425103853641'!$G$1</c:f>
              <c:strCache>
                <c:ptCount val="1"/>
                <c:pt idx="0">
                  <c:v>IBGE 
y_t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'STP-20250425103853641'!$F$2:$F$121</c:f>
              <c:numCache>
                <c:formatCode>mmm\-yy</c:formatCode>
                <c:ptCount val="120"/>
                <c:pt idx="0">
                  <c:v>34759</c:v>
                </c:pt>
                <c:pt idx="1">
                  <c:v>34851</c:v>
                </c:pt>
                <c:pt idx="2">
                  <c:v>34943</c:v>
                </c:pt>
                <c:pt idx="3">
                  <c:v>35034</c:v>
                </c:pt>
                <c:pt idx="4">
                  <c:v>35125</c:v>
                </c:pt>
                <c:pt idx="5">
                  <c:v>35217</c:v>
                </c:pt>
                <c:pt idx="6">
                  <c:v>35309</c:v>
                </c:pt>
                <c:pt idx="7">
                  <c:v>35400</c:v>
                </c:pt>
                <c:pt idx="8">
                  <c:v>35490</c:v>
                </c:pt>
                <c:pt idx="9">
                  <c:v>35582</c:v>
                </c:pt>
                <c:pt idx="10">
                  <c:v>35674</c:v>
                </c:pt>
                <c:pt idx="11">
                  <c:v>35765</c:v>
                </c:pt>
                <c:pt idx="12">
                  <c:v>35855</c:v>
                </c:pt>
                <c:pt idx="13">
                  <c:v>35947</c:v>
                </c:pt>
                <c:pt idx="14">
                  <c:v>36039</c:v>
                </c:pt>
                <c:pt idx="15">
                  <c:v>36130</c:v>
                </c:pt>
                <c:pt idx="16">
                  <c:v>36220</c:v>
                </c:pt>
                <c:pt idx="17">
                  <c:v>36312</c:v>
                </c:pt>
                <c:pt idx="18">
                  <c:v>36404</c:v>
                </c:pt>
                <c:pt idx="19">
                  <c:v>36495</c:v>
                </c:pt>
                <c:pt idx="20">
                  <c:v>36586</c:v>
                </c:pt>
                <c:pt idx="21">
                  <c:v>36678</c:v>
                </c:pt>
                <c:pt idx="22">
                  <c:v>36770</c:v>
                </c:pt>
                <c:pt idx="23">
                  <c:v>36861</c:v>
                </c:pt>
                <c:pt idx="24">
                  <c:v>36951</c:v>
                </c:pt>
                <c:pt idx="25">
                  <c:v>37043</c:v>
                </c:pt>
                <c:pt idx="26">
                  <c:v>37135</c:v>
                </c:pt>
                <c:pt idx="27">
                  <c:v>37226</c:v>
                </c:pt>
                <c:pt idx="28">
                  <c:v>37316</c:v>
                </c:pt>
                <c:pt idx="29">
                  <c:v>37408</c:v>
                </c:pt>
                <c:pt idx="30">
                  <c:v>37500</c:v>
                </c:pt>
                <c:pt idx="31">
                  <c:v>37591</c:v>
                </c:pt>
                <c:pt idx="32">
                  <c:v>37681</c:v>
                </c:pt>
                <c:pt idx="33">
                  <c:v>37773</c:v>
                </c:pt>
                <c:pt idx="34">
                  <c:v>37865</c:v>
                </c:pt>
                <c:pt idx="35">
                  <c:v>37956</c:v>
                </c:pt>
                <c:pt idx="36">
                  <c:v>38047</c:v>
                </c:pt>
                <c:pt idx="37">
                  <c:v>38139</c:v>
                </c:pt>
                <c:pt idx="38">
                  <c:v>38231</c:v>
                </c:pt>
                <c:pt idx="39">
                  <c:v>38322</c:v>
                </c:pt>
                <c:pt idx="40">
                  <c:v>38412</c:v>
                </c:pt>
                <c:pt idx="41">
                  <c:v>38504</c:v>
                </c:pt>
                <c:pt idx="42">
                  <c:v>38596</c:v>
                </c:pt>
                <c:pt idx="43">
                  <c:v>38687</c:v>
                </c:pt>
                <c:pt idx="44">
                  <c:v>38777</c:v>
                </c:pt>
                <c:pt idx="45">
                  <c:v>38869</c:v>
                </c:pt>
                <c:pt idx="46">
                  <c:v>38961</c:v>
                </c:pt>
                <c:pt idx="47">
                  <c:v>39052</c:v>
                </c:pt>
                <c:pt idx="48">
                  <c:v>39142</c:v>
                </c:pt>
                <c:pt idx="49">
                  <c:v>39234</c:v>
                </c:pt>
                <c:pt idx="50">
                  <c:v>39326</c:v>
                </c:pt>
                <c:pt idx="51">
                  <c:v>39417</c:v>
                </c:pt>
                <c:pt idx="52">
                  <c:v>39508</c:v>
                </c:pt>
                <c:pt idx="53">
                  <c:v>39600</c:v>
                </c:pt>
                <c:pt idx="54">
                  <c:v>39692</c:v>
                </c:pt>
                <c:pt idx="55">
                  <c:v>39783</c:v>
                </c:pt>
                <c:pt idx="56">
                  <c:v>39873</c:v>
                </c:pt>
                <c:pt idx="57">
                  <c:v>39965</c:v>
                </c:pt>
                <c:pt idx="58">
                  <c:v>40057</c:v>
                </c:pt>
                <c:pt idx="59">
                  <c:v>40148</c:v>
                </c:pt>
                <c:pt idx="60">
                  <c:v>40238</c:v>
                </c:pt>
                <c:pt idx="61">
                  <c:v>40330</c:v>
                </c:pt>
                <c:pt idx="62">
                  <c:v>40422</c:v>
                </c:pt>
                <c:pt idx="63">
                  <c:v>40513</c:v>
                </c:pt>
                <c:pt idx="64">
                  <c:v>40603</c:v>
                </c:pt>
                <c:pt idx="65">
                  <c:v>40695</c:v>
                </c:pt>
                <c:pt idx="66">
                  <c:v>40787</c:v>
                </c:pt>
                <c:pt idx="67">
                  <c:v>40878</c:v>
                </c:pt>
                <c:pt idx="68">
                  <c:v>40969</c:v>
                </c:pt>
                <c:pt idx="69">
                  <c:v>41061</c:v>
                </c:pt>
                <c:pt idx="70">
                  <c:v>41153</c:v>
                </c:pt>
                <c:pt idx="71">
                  <c:v>41244</c:v>
                </c:pt>
                <c:pt idx="72">
                  <c:v>41334</c:v>
                </c:pt>
                <c:pt idx="73">
                  <c:v>41426</c:v>
                </c:pt>
                <c:pt idx="74">
                  <c:v>41518</c:v>
                </c:pt>
                <c:pt idx="75">
                  <c:v>41609</c:v>
                </c:pt>
                <c:pt idx="76">
                  <c:v>41699</c:v>
                </c:pt>
                <c:pt idx="77">
                  <c:v>41791</c:v>
                </c:pt>
                <c:pt idx="78">
                  <c:v>41883</c:v>
                </c:pt>
                <c:pt idx="79">
                  <c:v>41974</c:v>
                </c:pt>
                <c:pt idx="80">
                  <c:v>42064</c:v>
                </c:pt>
                <c:pt idx="81">
                  <c:v>42156</c:v>
                </c:pt>
                <c:pt idx="82">
                  <c:v>42248</c:v>
                </c:pt>
                <c:pt idx="83">
                  <c:v>42339</c:v>
                </c:pt>
                <c:pt idx="84">
                  <c:v>42430</c:v>
                </c:pt>
                <c:pt idx="85">
                  <c:v>42522</c:v>
                </c:pt>
                <c:pt idx="86">
                  <c:v>42614</c:v>
                </c:pt>
                <c:pt idx="87">
                  <c:v>42705</c:v>
                </c:pt>
                <c:pt idx="88">
                  <c:v>42795</c:v>
                </c:pt>
                <c:pt idx="89">
                  <c:v>42887</c:v>
                </c:pt>
                <c:pt idx="90">
                  <c:v>42979</c:v>
                </c:pt>
                <c:pt idx="91">
                  <c:v>43070</c:v>
                </c:pt>
                <c:pt idx="92">
                  <c:v>43160</c:v>
                </c:pt>
                <c:pt idx="93">
                  <c:v>43252</c:v>
                </c:pt>
                <c:pt idx="94">
                  <c:v>43344</c:v>
                </c:pt>
                <c:pt idx="95">
                  <c:v>43435</c:v>
                </c:pt>
                <c:pt idx="96">
                  <c:v>43525</c:v>
                </c:pt>
                <c:pt idx="97">
                  <c:v>43617</c:v>
                </c:pt>
                <c:pt idx="98">
                  <c:v>43709</c:v>
                </c:pt>
                <c:pt idx="99">
                  <c:v>43800</c:v>
                </c:pt>
                <c:pt idx="100">
                  <c:v>43891</c:v>
                </c:pt>
                <c:pt idx="101">
                  <c:v>43983</c:v>
                </c:pt>
                <c:pt idx="102">
                  <c:v>44075</c:v>
                </c:pt>
                <c:pt idx="103">
                  <c:v>44166</c:v>
                </c:pt>
                <c:pt idx="104">
                  <c:v>44256</c:v>
                </c:pt>
                <c:pt idx="105">
                  <c:v>44348</c:v>
                </c:pt>
                <c:pt idx="106">
                  <c:v>44440</c:v>
                </c:pt>
                <c:pt idx="107">
                  <c:v>44531</c:v>
                </c:pt>
                <c:pt idx="108">
                  <c:v>44621</c:v>
                </c:pt>
                <c:pt idx="109">
                  <c:v>44713</c:v>
                </c:pt>
                <c:pt idx="110">
                  <c:v>44805</c:v>
                </c:pt>
                <c:pt idx="111">
                  <c:v>44896</c:v>
                </c:pt>
                <c:pt idx="112">
                  <c:v>44986</c:v>
                </c:pt>
                <c:pt idx="113">
                  <c:v>45078</c:v>
                </c:pt>
                <c:pt idx="114">
                  <c:v>45170</c:v>
                </c:pt>
                <c:pt idx="115">
                  <c:v>45261</c:v>
                </c:pt>
                <c:pt idx="116">
                  <c:v>45352</c:v>
                </c:pt>
                <c:pt idx="117">
                  <c:v>45444</c:v>
                </c:pt>
                <c:pt idx="118">
                  <c:v>45536</c:v>
                </c:pt>
                <c:pt idx="119">
                  <c:v>45627</c:v>
                </c:pt>
              </c:numCache>
            </c:numRef>
          </c:cat>
          <c:val>
            <c:numRef>
              <c:f>'STP-20250425103853641'!$G$2:$G$121</c:f>
              <c:numCache>
                <c:formatCode>General</c:formatCode>
                <c:ptCount val="120"/>
                <c:pt idx="3">
                  <c:v>100</c:v>
                </c:pt>
                <c:pt idx="4">
                  <c:v>96.84</c:v>
                </c:pt>
                <c:pt idx="5">
                  <c:v>100.12</c:v>
                </c:pt>
                <c:pt idx="6">
                  <c:v>107.56</c:v>
                </c:pt>
                <c:pt idx="7">
                  <c:v>104.31</c:v>
                </c:pt>
                <c:pt idx="8">
                  <c:v>100.13</c:v>
                </c:pt>
                <c:pt idx="9">
                  <c:v>104.88</c:v>
                </c:pt>
                <c:pt idx="10">
                  <c:v>109.49</c:v>
                </c:pt>
                <c:pt idx="11">
                  <c:v>108.21</c:v>
                </c:pt>
                <c:pt idx="12">
                  <c:v>101.14</c:v>
                </c:pt>
                <c:pt idx="13">
                  <c:v>106.46</c:v>
                </c:pt>
                <c:pt idx="14">
                  <c:v>109.88</c:v>
                </c:pt>
                <c:pt idx="15">
                  <c:v>106.66</c:v>
                </c:pt>
                <c:pt idx="16">
                  <c:v>101.92</c:v>
                </c:pt>
                <c:pt idx="17">
                  <c:v>106.04</c:v>
                </c:pt>
                <c:pt idx="18">
                  <c:v>109.2</c:v>
                </c:pt>
                <c:pt idx="19">
                  <c:v>108.97</c:v>
                </c:pt>
                <c:pt idx="20">
                  <c:v>106.4</c:v>
                </c:pt>
                <c:pt idx="21">
                  <c:v>110.25</c:v>
                </c:pt>
                <c:pt idx="22">
                  <c:v>114.19</c:v>
                </c:pt>
                <c:pt idx="23">
                  <c:v>113.98</c:v>
                </c:pt>
                <c:pt idx="24">
                  <c:v>110.1</c:v>
                </c:pt>
                <c:pt idx="25">
                  <c:v>112.82</c:v>
                </c:pt>
                <c:pt idx="26">
                  <c:v>114.71</c:v>
                </c:pt>
                <c:pt idx="27">
                  <c:v>113.38</c:v>
                </c:pt>
                <c:pt idx="28">
                  <c:v>110.63</c:v>
                </c:pt>
                <c:pt idx="29">
                  <c:v>115.41</c:v>
                </c:pt>
                <c:pt idx="30">
                  <c:v>119.5</c:v>
                </c:pt>
                <c:pt idx="31">
                  <c:v>119.24</c:v>
                </c:pt>
                <c:pt idx="32">
                  <c:v>113.58</c:v>
                </c:pt>
                <c:pt idx="33">
                  <c:v>116.31</c:v>
                </c:pt>
                <c:pt idx="34">
                  <c:v>120.25</c:v>
                </c:pt>
                <c:pt idx="35">
                  <c:v>119.94</c:v>
                </c:pt>
                <c:pt idx="36">
                  <c:v>117.98</c:v>
                </c:pt>
                <c:pt idx="37">
                  <c:v>123.65</c:v>
                </c:pt>
                <c:pt idx="38">
                  <c:v>128.13999999999999</c:v>
                </c:pt>
                <c:pt idx="39">
                  <c:v>127.39</c:v>
                </c:pt>
                <c:pt idx="40">
                  <c:v>122.92</c:v>
                </c:pt>
                <c:pt idx="41">
                  <c:v>129.18</c:v>
                </c:pt>
                <c:pt idx="42">
                  <c:v>130.85</c:v>
                </c:pt>
                <c:pt idx="43">
                  <c:v>130.13</c:v>
                </c:pt>
                <c:pt idx="44">
                  <c:v>128.18</c:v>
                </c:pt>
                <c:pt idx="45">
                  <c:v>132.13</c:v>
                </c:pt>
                <c:pt idx="46">
                  <c:v>136.72</c:v>
                </c:pt>
                <c:pt idx="47">
                  <c:v>136.37</c:v>
                </c:pt>
                <c:pt idx="48">
                  <c:v>134.84</c:v>
                </c:pt>
                <c:pt idx="49">
                  <c:v>140.77000000000001</c:v>
                </c:pt>
                <c:pt idx="50">
                  <c:v>144.75</c:v>
                </c:pt>
                <c:pt idx="51">
                  <c:v>145.43</c:v>
                </c:pt>
                <c:pt idx="52">
                  <c:v>143.13999999999999</c:v>
                </c:pt>
                <c:pt idx="53">
                  <c:v>149.69</c:v>
                </c:pt>
                <c:pt idx="54">
                  <c:v>154.86000000000001</c:v>
                </c:pt>
                <c:pt idx="55">
                  <c:v>146.91999999999999</c:v>
                </c:pt>
                <c:pt idx="56">
                  <c:v>139.66999999999999</c:v>
                </c:pt>
                <c:pt idx="57">
                  <c:v>146.38999999999999</c:v>
                </c:pt>
                <c:pt idx="58">
                  <c:v>153.06</c:v>
                </c:pt>
                <c:pt idx="59">
                  <c:v>154.75</c:v>
                </c:pt>
                <c:pt idx="60">
                  <c:v>152.53</c:v>
                </c:pt>
                <c:pt idx="61">
                  <c:v>158.86000000000001</c:v>
                </c:pt>
                <c:pt idx="62">
                  <c:v>163.63</c:v>
                </c:pt>
                <c:pt idx="63">
                  <c:v>163.55000000000001</c:v>
                </c:pt>
                <c:pt idx="64">
                  <c:v>160.44999999999999</c:v>
                </c:pt>
                <c:pt idx="65">
                  <c:v>166.33</c:v>
                </c:pt>
                <c:pt idx="66">
                  <c:v>169.41</c:v>
                </c:pt>
                <c:pt idx="67">
                  <c:v>167.75</c:v>
                </c:pt>
                <c:pt idx="68">
                  <c:v>163.19</c:v>
                </c:pt>
                <c:pt idx="69">
                  <c:v>167.97</c:v>
                </c:pt>
                <c:pt idx="70">
                  <c:v>173.63</c:v>
                </c:pt>
                <c:pt idx="71">
                  <c:v>171.91</c:v>
                </c:pt>
                <c:pt idx="72">
                  <c:v>167.63</c:v>
                </c:pt>
                <c:pt idx="73">
                  <c:v>174.73</c:v>
                </c:pt>
                <c:pt idx="74">
                  <c:v>178.42</c:v>
                </c:pt>
                <c:pt idx="75">
                  <c:v>176.26</c:v>
                </c:pt>
                <c:pt idx="76">
                  <c:v>173.45</c:v>
                </c:pt>
                <c:pt idx="77">
                  <c:v>173.97</c:v>
                </c:pt>
                <c:pt idx="78">
                  <c:v>177.28</c:v>
                </c:pt>
                <c:pt idx="79">
                  <c:v>175.86</c:v>
                </c:pt>
                <c:pt idx="80">
                  <c:v>170.64</c:v>
                </c:pt>
                <c:pt idx="81">
                  <c:v>169.2</c:v>
                </c:pt>
                <c:pt idx="82">
                  <c:v>169.72</c:v>
                </c:pt>
                <c:pt idx="83">
                  <c:v>166.15</c:v>
                </c:pt>
                <c:pt idx="84">
                  <c:v>161.87</c:v>
                </c:pt>
                <c:pt idx="85">
                  <c:v>163.75</c:v>
                </c:pt>
                <c:pt idx="86">
                  <c:v>165.55</c:v>
                </c:pt>
                <c:pt idx="87">
                  <c:v>162.38999999999999</c:v>
                </c:pt>
                <c:pt idx="88">
                  <c:v>162.33000000000001</c:v>
                </c:pt>
                <c:pt idx="89">
                  <c:v>165.04</c:v>
                </c:pt>
                <c:pt idx="90">
                  <c:v>168.27</c:v>
                </c:pt>
                <c:pt idx="91">
                  <c:v>166.58</c:v>
                </c:pt>
                <c:pt idx="92">
                  <c:v>165.42</c:v>
                </c:pt>
                <c:pt idx="93">
                  <c:v>167.71</c:v>
                </c:pt>
                <c:pt idx="94">
                  <c:v>171.73</c:v>
                </c:pt>
                <c:pt idx="95">
                  <c:v>169.17</c:v>
                </c:pt>
                <c:pt idx="96">
                  <c:v>166.91</c:v>
                </c:pt>
                <c:pt idx="97">
                  <c:v>169.68</c:v>
                </c:pt>
                <c:pt idx="98">
                  <c:v>173.64</c:v>
                </c:pt>
                <c:pt idx="99">
                  <c:v>172.03</c:v>
                </c:pt>
                <c:pt idx="100">
                  <c:v>167.6</c:v>
                </c:pt>
                <c:pt idx="101">
                  <c:v>152.47999999999999</c:v>
                </c:pt>
                <c:pt idx="102">
                  <c:v>168.37</c:v>
                </c:pt>
                <c:pt idx="103">
                  <c:v>171.46</c:v>
                </c:pt>
                <c:pt idx="104">
                  <c:v>170.53</c:v>
                </c:pt>
                <c:pt idx="105">
                  <c:v>171.38</c:v>
                </c:pt>
                <c:pt idx="106">
                  <c:v>175.46</c:v>
                </c:pt>
                <c:pt idx="107">
                  <c:v>173.96</c:v>
                </c:pt>
                <c:pt idx="108">
                  <c:v>173.05</c:v>
                </c:pt>
                <c:pt idx="109">
                  <c:v>177.45</c:v>
                </c:pt>
                <c:pt idx="110">
                  <c:v>183.04</c:v>
                </c:pt>
                <c:pt idx="111">
                  <c:v>178.65</c:v>
                </c:pt>
                <c:pt idx="112">
                  <c:v>180.74</c:v>
                </c:pt>
                <c:pt idx="113">
                  <c:v>184.28</c:v>
                </c:pt>
                <c:pt idx="114">
                  <c:v>187.35</c:v>
                </c:pt>
                <c:pt idx="115">
                  <c:v>182.9</c:v>
                </c:pt>
                <c:pt idx="116">
                  <c:v>185.36</c:v>
                </c:pt>
                <c:pt idx="117">
                  <c:v>190.43</c:v>
                </c:pt>
                <c:pt idx="118">
                  <c:v>194.94</c:v>
                </c:pt>
                <c:pt idx="119">
                  <c:v>189.51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65-4EE6-8906-C791D60E985E}"/>
            </c:ext>
          </c:extLst>
        </c:ser>
        <c:ser>
          <c:idx val="1"/>
          <c:order val="1"/>
          <c:tx>
            <c:strRef>
              <c:f>'STP-20250425103853641'!$H$1</c:f>
              <c:strCache>
                <c:ptCount val="1"/>
                <c:pt idx="0">
                  <c:v>IBGE
y_sa_t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'STP-20250425103853641'!$F$2:$F$121</c:f>
              <c:numCache>
                <c:formatCode>mmm\-yy</c:formatCode>
                <c:ptCount val="120"/>
                <c:pt idx="0">
                  <c:v>34759</c:v>
                </c:pt>
                <c:pt idx="1">
                  <c:v>34851</c:v>
                </c:pt>
                <c:pt idx="2">
                  <c:v>34943</c:v>
                </c:pt>
                <c:pt idx="3">
                  <c:v>35034</c:v>
                </c:pt>
                <c:pt idx="4">
                  <c:v>35125</c:v>
                </c:pt>
                <c:pt idx="5">
                  <c:v>35217</c:v>
                </c:pt>
                <c:pt idx="6">
                  <c:v>35309</c:v>
                </c:pt>
                <c:pt idx="7">
                  <c:v>35400</c:v>
                </c:pt>
                <c:pt idx="8">
                  <c:v>35490</c:v>
                </c:pt>
                <c:pt idx="9">
                  <c:v>35582</c:v>
                </c:pt>
                <c:pt idx="10">
                  <c:v>35674</c:v>
                </c:pt>
                <c:pt idx="11">
                  <c:v>35765</c:v>
                </c:pt>
                <c:pt idx="12">
                  <c:v>35855</c:v>
                </c:pt>
                <c:pt idx="13">
                  <c:v>35947</c:v>
                </c:pt>
                <c:pt idx="14">
                  <c:v>36039</c:v>
                </c:pt>
                <c:pt idx="15">
                  <c:v>36130</c:v>
                </c:pt>
                <c:pt idx="16">
                  <c:v>36220</c:v>
                </c:pt>
                <c:pt idx="17">
                  <c:v>36312</c:v>
                </c:pt>
                <c:pt idx="18">
                  <c:v>36404</c:v>
                </c:pt>
                <c:pt idx="19">
                  <c:v>36495</c:v>
                </c:pt>
                <c:pt idx="20">
                  <c:v>36586</c:v>
                </c:pt>
                <c:pt idx="21">
                  <c:v>36678</c:v>
                </c:pt>
                <c:pt idx="22">
                  <c:v>36770</c:v>
                </c:pt>
                <c:pt idx="23">
                  <c:v>36861</c:v>
                </c:pt>
                <c:pt idx="24">
                  <c:v>36951</c:v>
                </c:pt>
                <c:pt idx="25">
                  <c:v>37043</c:v>
                </c:pt>
                <c:pt idx="26">
                  <c:v>37135</c:v>
                </c:pt>
                <c:pt idx="27">
                  <c:v>37226</c:v>
                </c:pt>
                <c:pt idx="28">
                  <c:v>37316</c:v>
                </c:pt>
                <c:pt idx="29">
                  <c:v>37408</c:v>
                </c:pt>
                <c:pt idx="30">
                  <c:v>37500</c:v>
                </c:pt>
                <c:pt idx="31">
                  <c:v>37591</c:v>
                </c:pt>
                <c:pt idx="32">
                  <c:v>37681</c:v>
                </c:pt>
                <c:pt idx="33">
                  <c:v>37773</c:v>
                </c:pt>
                <c:pt idx="34">
                  <c:v>37865</c:v>
                </c:pt>
                <c:pt idx="35">
                  <c:v>37956</c:v>
                </c:pt>
                <c:pt idx="36">
                  <c:v>38047</c:v>
                </c:pt>
                <c:pt idx="37">
                  <c:v>38139</c:v>
                </c:pt>
                <c:pt idx="38">
                  <c:v>38231</c:v>
                </c:pt>
                <c:pt idx="39">
                  <c:v>38322</c:v>
                </c:pt>
                <c:pt idx="40">
                  <c:v>38412</c:v>
                </c:pt>
                <c:pt idx="41">
                  <c:v>38504</c:v>
                </c:pt>
                <c:pt idx="42">
                  <c:v>38596</c:v>
                </c:pt>
                <c:pt idx="43">
                  <c:v>38687</c:v>
                </c:pt>
                <c:pt idx="44">
                  <c:v>38777</c:v>
                </c:pt>
                <c:pt idx="45">
                  <c:v>38869</c:v>
                </c:pt>
                <c:pt idx="46">
                  <c:v>38961</c:v>
                </c:pt>
                <c:pt idx="47">
                  <c:v>39052</c:v>
                </c:pt>
                <c:pt idx="48">
                  <c:v>39142</c:v>
                </c:pt>
                <c:pt idx="49">
                  <c:v>39234</c:v>
                </c:pt>
                <c:pt idx="50">
                  <c:v>39326</c:v>
                </c:pt>
                <c:pt idx="51">
                  <c:v>39417</c:v>
                </c:pt>
                <c:pt idx="52">
                  <c:v>39508</c:v>
                </c:pt>
                <c:pt idx="53">
                  <c:v>39600</c:v>
                </c:pt>
                <c:pt idx="54">
                  <c:v>39692</c:v>
                </c:pt>
                <c:pt idx="55">
                  <c:v>39783</c:v>
                </c:pt>
                <c:pt idx="56">
                  <c:v>39873</c:v>
                </c:pt>
                <c:pt idx="57">
                  <c:v>39965</c:v>
                </c:pt>
                <c:pt idx="58">
                  <c:v>40057</c:v>
                </c:pt>
                <c:pt idx="59">
                  <c:v>40148</c:v>
                </c:pt>
                <c:pt idx="60">
                  <c:v>40238</c:v>
                </c:pt>
                <c:pt idx="61">
                  <c:v>40330</c:v>
                </c:pt>
                <c:pt idx="62">
                  <c:v>40422</c:v>
                </c:pt>
                <c:pt idx="63">
                  <c:v>40513</c:v>
                </c:pt>
                <c:pt idx="64">
                  <c:v>40603</c:v>
                </c:pt>
                <c:pt idx="65">
                  <c:v>40695</c:v>
                </c:pt>
                <c:pt idx="66">
                  <c:v>40787</c:v>
                </c:pt>
                <c:pt idx="67">
                  <c:v>40878</c:v>
                </c:pt>
                <c:pt idx="68">
                  <c:v>40969</c:v>
                </c:pt>
                <c:pt idx="69">
                  <c:v>41061</c:v>
                </c:pt>
                <c:pt idx="70">
                  <c:v>41153</c:v>
                </c:pt>
                <c:pt idx="71">
                  <c:v>41244</c:v>
                </c:pt>
                <c:pt idx="72">
                  <c:v>41334</c:v>
                </c:pt>
                <c:pt idx="73">
                  <c:v>41426</c:v>
                </c:pt>
                <c:pt idx="74">
                  <c:v>41518</c:v>
                </c:pt>
                <c:pt idx="75">
                  <c:v>41609</c:v>
                </c:pt>
                <c:pt idx="76">
                  <c:v>41699</c:v>
                </c:pt>
                <c:pt idx="77">
                  <c:v>41791</c:v>
                </c:pt>
                <c:pt idx="78">
                  <c:v>41883</c:v>
                </c:pt>
                <c:pt idx="79">
                  <c:v>41974</c:v>
                </c:pt>
                <c:pt idx="80">
                  <c:v>42064</c:v>
                </c:pt>
                <c:pt idx="81">
                  <c:v>42156</c:v>
                </c:pt>
                <c:pt idx="82">
                  <c:v>42248</c:v>
                </c:pt>
                <c:pt idx="83">
                  <c:v>42339</c:v>
                </c:pt>
                <c:pt idx="84">
                  <c:v>42430</c:v>
                </c:pt>
                <c:pt idx="85">
                  <c:v>42522</c:v>
                </c:pt>
                <c:pt idx="86">
                  <c:v>42614</c:v>
                </c:pt>
                <c:pt idx="87">
                  <c:v>42705</c:v>
                </c:pt>
                <c:pt idx="88">
                  <c:v>42795</c:v>
                </c:pt>
                <c:pt idx="89">
                  <c:v>42887</c:v>
                </c:pt>
                <c:pt idx="90">
                  <c:v>42979</c:v>
                </c:pt>
                <c:pt idx="91">
                  <c:v>43070</c:v>
                </c:pt>
                <c:pt idx="92">
                  <c:v>43160</c:v>
                </c:pt>
                <c:pt idx="93">
                  <c:v>43252</c:v>
                </c:pt>
                <c:pt idx="94">
                  <c:v>43344</c:v>
                </c:pt>
                <c:pt idx="95">
                  <c:v>43435</c:v>
                </c:pt>
                <c:pt idx="96">
                  <c:v>43525</c:v>
                </c:pt>
                <c:pt idx="97">
                  <c:v>43617</c:v>
                </c:pt>
                <c:pt idx="98">
                  <c:v>43709</c:v>
                </c:pt>
                <c:pt idx="99">
                  <c:v>43800</c:v>
                </c:pt>
                <c:pt idx="100">
                  <c:v>43891</c:v>
                </c:pt>
                <c:pt idx="101">
                  <c:v>43983</c:v>
                </c:pt>
                <c:pt idx="102">
                  <c:v>44075</c:v>
                </c:pt>
                <c:pt idx="103">
                  <c:v>44166</c:v>
                </c:pt>
                <c:pt idx="104">
                  <c:v>44256</c:v>
                </c:pt>
                <c:pt idx="105">
                  <c:v>44348</c:v>
                </c:pt>
                <c:pt idx="106">
                  <c:v>44440</c:v>
                </c:pt>
                <c:pt idx="107">
                  <c:v>44531</c:v>
                </c:pt>
                <c:pt idx="108">
                  <c:v>44621</c:v>
                </c:pt>
                <c:pt idx="109">
                  <c:v>44713</c:v>
                </c:pt>
                <c:pt idx="110">
                  <c:v>44805</c:v>
                </c:pt>
                <c:pt idx="111">
                  <c:v>44896</c:v>
                </c:pt>
                <c:pt idx="112">
                  <c:v>44986</c:v>
                </c:pt>
                <c:pt idx="113">
                  <c:v>45078</c:v>
                </c:pt>
                <c:pt idx="114">
                  <c:v>45170</c:v>
                </c:pt>
                <c:pt idx="115">
                  <c:v>45261</c:v>
                </c:pt>
                <c:pt idx="116">
                  <c:v>45352</c:v>
                </c:pt>
                <c:pt idx="117">
                  <c:v>45444</c:v>
                </c:pt>
                <c:pt idx="118">
                  <c:v>45536</c:v>
                </c:pt>
                <c:pt idx="119">
                  <c:v>45627</c:v>
                </c:pt>
              </c:numCache>
            </c:numRef>
          </c:cat>
          <c:val>
            <c:numRef>
              <c:f>'STP-20250425103853641'!$H$2:$H$121</c:f>
              <c:numCache>
                <c:formatCode>General</c:formatCode>
                <c:ptCount val="120"/>
                <c:pt idx="4">
                  <c:v>99.4</c:v>
                </c:pt>
                <c:pt idx="5">
                  <c:v>100.66</c:v>
                </c:pt>
                <c:pt idx="6">
                  <c:v>104.15</c:v>
                </c:pt>
                <c:pt idx="7">
                  <c:v>103.38</c:v>
                </c:pt>
                <c:pt idx="8">
                  <c:v>104.42</c:v>
                </c:pt>
                <c:pt idx="9">
                  <c:v>105</c:v>
                </c:pt>
                <c:pt idx="10">
                  <c:v>106.13</c:v>
                </c:pt>
                <c:pt idx="11">
                  <c:v>107.22</c:v>
                </c:pt>
                <c:pt idx="12">
                  <c:v>105.1</c:v>
                </c:pt>
                <c:pt idx="13">
                  <c:v>106.81</c:v>
                </c:pt>
                <c:pt idx="14">
                  <c:v>106.72</c:v>
                </c:pt>
                <c:pt idx="15">
                  <c:v>105.65</c:v>
                </c:pt>
                <c:pt idx="16">
                  <c:v>105.82</c:v>
                </c:pt>
                <c:pt idx="17">
                  <c:v>106.26</c:v>
                </c:pt>
                <c:pt idx="18">
                  <c:v>106.37</c:v>
                </c:pt>
                <c:pt idx="19">
                  <c:v>107.83</c:v>
                </c:pt>
                <c:pt idx="20">
                  <c:v>109</c:v>
                </c:pt>
                <c:pt idx="21">
                  <c:v>110.45</c:v>
                </c:pt>
                <c:pt idx="22">
                  <c:v>111.97</c:v>
                </c:pt>
                <c:pt idx="23">
                  <c:v>113.24</c:v>
                </c:pt>
                <c:pt idx="24">
                  <c:v>113.5</c:v>
                </c:pt>
                <c:pt idx="25">
                  <c:v>113.09</c:v>
                </c:pt>
                <c:pt idx="26">
                  <c:v>112.59</c:v>
                </c:pt>
                <c:pt idx="27">
                  <c:v>112.06</c:v>
                </c:pt>
                <c:pt idx="28">
                  <c:v>114.91</c:v>
                </c:pt>
                <c:pt idx="29">
                  <c:v>115.32</c:v>
                </c:pt>
                <c:pt idx="30">
                  <c:v>116.76</c:v>
                </c:pt>
                <c:pt idx="31">
                  <c:v>117.91</c:v>
                </c:pt>
                <c:pt idx="32">
                  <c:v>117.52</c:v>
                </c:pt>
                <c:pt idx="33">
                  <c:v>116.54</c:v>
                </c:pt>
                <c:pt idx="34">
                  <c:v>117.52</c:v>
                </c:pt>
                <c:pt idx="35">
                  <c:v>118.74</c:v>
                </c:pt>
                <c:pt idx="36">
                  <c:v>120.5</c:v>
                </c:pt>
                <c:pt idx="37">
                  <c:v>123.75</c:v>
                </c:pt>
                <c:pt idx="38">
                  <c:v>125.29</c:v>
                </c:pt>
                <c:pt idx="39">
                  <c:v>126.31</c:v>
                </c:pt>
                <c:pt idx="40">
                  <c:v>127.37</c:v>
                </c:pt>
                <c:pt idx="41">
                  <c:v>128.77000000000001</c:v>
                </c:pt>
                <c:pt idx="42">
                  <c:v>128.01</c:v>
                </c:pt>
                <c:pt idx="43">
                  <c:v>129.77000000000001</c:v>
                </c:pt>
                <c:pt idx="44">
                  <c:v>131.61000000000001</c:v>
                </c:pt>
                <c:pt idx="45">
                  <c:v>132.16999999999999</c:v>
                </c:pt>
                <c:pt idx="46">
                  <c:v>134.38</c:v>
                </c:pt>
                <c:pt idx="47">
                  <c:v>136.04</c:v>
                </c:pt>
                <c:pt idx="48">
                  <c:v>138.4</c:v>
                </c:pt>
                <c:pt idx="49">
                  <c:v>140.83000000000001</c:v>
                </c:pt>
                <c:pt idx="50">
                  <c:v>142.28</c:v>
                </c:pt>
                <c:pt idx="51">
                  <c:v>144.36000000000001</c:v>
                </c:pt>
                <c:pt idx="52">
                  <c:v>146.28</c:v>
                </c:pt>
                <c:pt idx="53">
                  <c:v>149.28</c:v>
                </c:pt>
                <c:pt idx="54">
                  <c:v>151.52000000000001</c:v>
                </c:pt>
                <c:pt idx="55">
                  <c:v>145.87</c:v>
                </c:pt>
                <c:pt idx="56">
                  <c:v>143.91999999999999</c:v>
                </c:pt>
                <c:pt idx="57">
                  <c:v>146.46</c:v>
                </c:pt>
                <c:pt idx="58">
                  <c:v>149.91</c:v>
                </c:pt>
                <c:pt idx="59">
                  <c:v>153.66999999999999</c:v>
                </c:pt>
                <c:pt idx="60">
                  <c:v>156.97999999999999</c:v>
                </c:pt>
                <c:pt idx="61">
                  <c:v>158.94</c:v>
                </c:pt>
                <c:pt idx="62">
                  <c:v>160.35</c:v>
                </c:pt>
                <c:pt idx="63">
                  <c:v>162.55000000000001</c:v>
                </c:pt>
                <c:pt idx="64">
                  <c:v>164.92</c:v>
                </c:pt>
                <c:pt idx="65">
                  <c:v>166.39</c:v>
                </c:pt>
                <c:pt idx="66">
                  <c:v>166.11</c:v>
                </c:pt>
                <c:pt idx="67">
                  <c:v>167.66</c:v>
                </c:pt>
                <c:pt idx="68">
                  <c:v>165.34</c:v>
                </c:pt>
                <c:pt idx="69">
                  <c:v>168.17</c:v>
                </c:pt>
                <c:pt idx="70">
                  <c:v>171.09</c:v>
                </c:pt>
                <c:pt idx="71">
                  <c:v>171.21</c:v>
                </c:pt>
                <c:pt idx="72">
                  <c:v>172.04</c:v>
                </c:pt>
                <c:pt idx="73">
                  <c:v>174.52</c:v>
                </c:pt>
                <c:pt idx="74">
                  <c:v>175.25</c:v>
                </c:pt>
                <c:pt idx="75">
                  <c:v>175.57</c:v>
                </c:pt>
                <c:pt idx="76">
                  <c:v>176.88</c:v>
                </c:pt>
                <c:pt idx="77">
                  <c:v>174.56</c:v>
                </c:pt>
                <c:pt idx="78">
                  <c:v>174.39</c:v>
                </c:pt>
                <c:pt idx="79">
                  <c:v>175.15</c:v>
                </c:pt>
                <c:pt idx="80">
                  <c:v>173.73</c:v>
                </c:pt>
                <c:pt idx="81">
                  <c:v>169.78</c:v>
                </c:pt>
                <c:pt idx="82">
                  <c:v>167.13</c:v>
                </c:pt>
                <c:pt idx="83">
                  <c:v>165.51</c:v>
                </c:pt>
                <c:pt idx="84">
                  <c:v>163.25</c:v>
                </c:pt>
                <c:pt idx="85">
                  <c:v>163.74</c:v>
                </c:pt>
                <c:pt idx="86">
                  <c:v>162.91</c:v>
                </c:pt>
                <c:pt idx="87">
                  <c:v>162.76</c:v>
                </c:pt>
                <c:pt idx="88">
                  <c:v>164.34</c:v>
                </c:pt>
                <c:pt idx="89">
                  <c:v>165.63</c:v>
                </c:pt>
                <c:pt idx="90">
                  <c:v>166.16</c:v>
                </c:pt>
                <c:pt idx="91">
                  <c:v>167.15</c:v>
                </c:pt>
                <c:pt idx="92">
                  <c:v>167.93</c:v>
                </c:pt>
                <c:pt idx="93">
                  <c:v>167.9</c:v>
                </c:pt>
                <c:pt idx="94">
                  <c:v>169.4</c:v>
                </c:pt>
                <c:pt idx="95">
                  <c:v>169.07</c:v>
                </c:pt>
                <c:pt idx="96">
                  <c:v>169.54</c:v>
                </c:pt>
                <c:pt idx="97">
                  <c:v>170.56</c:v>
                </c:pt>
                <c:pt idx="98">
                  <c:v>170.49</c:v>
                </c:pt>
                <c:pt idx="99">
                  <c:v>171.9</c:v>
                </c:pt>
                <c:pt idx="100">
                  <c:v>168.1</c:v>
                </c:pt>
                <c:pt idx="101">
                  <c:v>153.26</c:v>
                </c:pt>
                <c:pt idx="102">
                  <c:v>165.33</c:v>
                </c:pt>
                <c:pt idx="103">
                  <c:v>171.46</c:v>
                </c:pt>
                <c:pt idx="104">
                  <c:v>173.15</c:v>
                </c:pt>
                <c:pt idx="105">
                  <c:v>172.05</c:v>
                </c:pt>
                <c:pt idx="106">
                  <c:v>172.24</c:v>
                </c:pt>
                <c:pt idx="107">
                  <c:v>174.3</c:v>
                </c:pt>
                <c:pt idx="108">
                  <c:v>175.79</c:v>
                </c:pt>
                <c:pt idx="109">
                  <c:v>177.78</c:v>
                </c:pt>
                <c:pt idx="110">
                  <c:v>179.45</c:v>
                </c:pt>
                <c:pt idx="111">
                  <c:v>180.39</c:v>
                </c:pt>
                <c:pt idx="112">
                  <c:v>182.85</c:v>
                </c:pt>
                <c:pt idx="113">
                  <c:v>184.19</c:v>
                </c:pt>
                <c:pt idx="114">
                  <c:v>184.35</c:v>
                </c:pt>
                <c:pt idx="115">
                  <c:v>185.08</c:v>
                </c:pt>
                <c:pt idx="116">
                  <c:v>186.91</c:v>
                </c:pt>
                <c:pt idx="117">
                  <c:v>189.37</c:v>
                </c:pt>
                <c:pt idx="118">
                  <c:v>190.78</c:v>
                </c:pt>
                <c:pt idx="119">
                  <c:v>191.11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65-4EE6-8906-C791D60E985E}"/>
            </c:ext>
          </c:extLst>
        </c:ser>
        <c:ser>
          <c:idx val="3"/>
          <c:order val="2"/>
          <c:tx>
            <c:strRef>
              <c:f>'STP-20250425103853641'!$J$1</c:f>
              <c:strCache>
                <c:ptCount val="1"/>
                <c:pt idx="0">
                  <c:v>x_t : media movel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'STP-20250425103853641'!$F$2:$F$121</c:f>
              <c:numCache>
                <c:formatCode>mmm\-yy</c:formatCode>
                <c:ptCount val="120"/>
                <c:pt idx="0">
                  <c:v>34759</c:v>
                </c:pt>
                <c:pt idx="1">
                  <c:v>34851</c:v>
                </c:pt>
                <c:pt idx="2">
                  <c:v>34943</c:v>
                </c:pt>
                <c:pt idx="3">
                  <c:v>35034</c:v>
                </c:pt>
                <c:pt idx="4">
                  <c:v>35125</c:v>
                </c:pt>
                <c:pt idx="5">
                  <c:v>35217</c:v>
                </c:pt>
                <c:pt idx="6">
                  <c:v>35309</c:v>
                </c:pt>
                <c:pt idx="7">
                  <c:v>35400</c:v>
                </c:pt>
                <c:pt idx="8">
                  <c:v>35490</c:v>
                </c:pt>
                <c:pt idx="9">
                  <c:v>35582</c:v>
                </c:pt>
                <c:pt idx="10">
                  <c:v>35674</c:v>
                </c:pt>
                <c:pt idx="11">
                  <c:v>35765</c:v>
                </c:pt>
                <c:pt idx="12">
                  <c:v>35855</c:v>
                </c:pt>
                <c:pt idx="13">
                  <c:v>35947</c:v>
                </c:pt>
                <c:pt idx="14">
                  <c:v>36039</c:v>
                </c:pt>
                <c:pt idx="15">
                  <c:v>36130</c:v>
                </c:pt>
                <c:pt idx="16">
                  <c:v>36220</c:v>
                </c:pt>
                <c:pt idx="17">
                  <c:v>36312</c:v>
                </c:pt>
                <c:pt idx="18">
                  <c:v>36404</c:v>
                </c:pt>
                <c:pt idx="19">
                  <c:v>36495</c:v>
                </c:pt>
                <c:pt idx="20">
                  <c:v>36586</c:v>
                </c:pt>
                <c:pt idx="21">
                  <c:v>36678</c:v>
                </c:pt>
                <c:pt idx="22">
                  <c:v>36770</c:v>
                </c:pt>
                <c:pt idx="23">
                  <c:v>36861</c:v>
                </c:pt>
                <c:pt idx="24">
                  <c:v>36951</c:v>
                </c:pt>
                <c:pt idx="25">
                  <c:v>37043</c:v>
                </c:pt>
                <c:pt idx="26">
                  <c:v>37135</c:v>
                </c:pt>
                <c:pt idx="27">
                  <c:v>37226</c:v>
                </c:pt>
                <c:pt idx="28">
                  <c:v>37316</c:v>
                </c:pt>
                <c:pt idx="29">
                  <c:v>37408</c:v>
                </c:pt>
                <c:pt idx="30">
                  <c:v>37500</c:v>
                </c:pt>
                <c:pt idx="31">
                  <c:v>37591</c:v>
                </c:pt>
                <c:pt idx="32">
                  <c:v>37681</c:v>
                </c:pt>
                <c:pt idx="33">
                  <c:v>37773</c:v>
                </c:pt>
                <c:pt idx="34">
                  <c:v>37865</c:v>
                </c:pt>
                <c:pt idx="35">
                  <c:v>37956</c:v>
                </c:pt>
                <c:pt idx="36">
                  <c:v>38047</c:v>
                </c:pt>
                <c:pt idx="37">
                  <c:v>38139</c:v>
                </c:pt>
                <c:pt idx="38">
                  <c:v>38231</c:v>
                </c:pt>
                <c:pt idx="39">
                  <c:v>38322</c:v>
                </c:pt>
                <c:pt idx="40">
                  <c:v>38412</c:v>
                </c:pt>
                <c:pt idx="41">
                  <c:v>38504</c:v>
                </c:pt>
                <c:pt idx="42">
                  <c:v>38596</c:v>
                </c:pt>
                <c:pt idx="43">
                  <c:v>38687</c:v>
                </c:pt>
                <c:pt idx="44">
                  <c:v>38777</c:v>
                </c:pt>
                <c:pt idx="45">
                  <c:v>38869</c:v>
                </c:pt>
                <c:pt idx="46">
                  <c:v>38961</c:v>
                </c:pt>
                <c:pt idx="47">
                  <c:v>39052</c:v>
                </c:pt>
                <c:pt idx="48">
                  <c:v>39142</c:v>
                </c:pt>
                <c:pt idx="49">
                  <c:v>39234</c:v>
                </c:pt>
                <c:pt idx="50">
                  <c:v>39326</c:v>
                </c:pt>
                <c:pt idx="51">
                  <c:v>39417</c:v>
                </c:pt>
                <c:pt idx="52">
                  <c:v>39508</c:v>
                </c:pt>
                <c:pt idx="53">
                  <c:v>39600</c:v>
                </c:pt>
                <c:pt idx="54">
                  <c:v>39692</c:v>
                </c:pt>
                <c:pt idx="55">
                  <c:v>39783</c:v>
                </c:pt>
                <c:pt idx="56">
                  <c:v>39873</c:v>
                </c:pt>
                <c:pt idx="57">
                  <c:v>39965</c:v>
                </c:pt>
                <c:pt idx="58">
                  <c:v>40057</c:v>
                </c:pt>
                <c:pt idx="59">
                  <c:v>40148</c:v>
                </c:pt>
                <c:pt idx="60">
                  <c:v>40238</c:v>
                </c:pt>
                <c:pt idx="61">
                  <c:v>40330</c:v>
                </c:pt>
                <c:pt idx="62">
                  <c:v>40422</c:v>
                </c:pt>
                <c:pt idx="63">
                  <c:v>40513</c:v>
                </c:pt>
                <c:pt idx="64">
                  <c:v>40603</c:v>
                </c:pt>
                <c:pt idx="65">
                  <c:v>40695</c:v>
                </c:pt>
                <c:pt idx="66">
                  <c:v>40787</c:v>
                </c:pt>
                <c:pt idx="67">
                  <c:v>40878</c:v>
                </c:pt>
                <c:pt idx="68">
                  <c:v>40969</c:v>
                </c:pt>
                <c:pt idx="69">
                  <c:v>41061</c:v>
                </c:pt>
                <c:pt idx="70">
                  <c:v>41153</c:v>
                </c:pt>
                <c:pt idx="71">
                  <c:v>41244</c:v>
                </c:pt>
                <c:pt idx="72">
                  <c:v>41334</c:v>
                </c:pt>
                <c:pt idx="73">
                  <c:v>41426</c:v>
                </c:pt>
                <c:pt idx="74">
                  <c:v>41518</c:v>
                </c:pt>
                <c:pt idx="75">
                  <c:v>41609</c:v>
                </c:pt>
                <c:pt idx="76">
                  <c:v>41699</c:v>
                </c:pt>
                <c:pt idx="77">
                  <c:v>41791</c:v>
                </c:pt>
                <c:pt idx="78">
                  <c:v>41883</c:v>
                </c:pt>
                <c:pt idx="79">
                  <c:v>41974</c:v>
                </c:pt>
                <c:pt idx="80">
                  <c:v>42064</c:v>
                </c:pt>
                <c:pt idx="81">
                  <c:v>42156</c:v>
                </c:pt>
                <c:pt idx="82">
                  <c:v>42248</c:v>
                </c:pt>
                <c:pt idx="83">
                  <c:v>42339</c:v>
                </c:pt>
                <c:pt idx="84">
                  <c:v>42430</c:v>
                </c:pt>
                <c:pt idx="85">
                  <c:v>42522</c:v>
                </c:pt>
                <c:pt idx="86">
                  <c:v>42614</c:v>
                </c:pt>
                <c:pt idx="87">
                  <c:v>42705</c:v>
                </c:pt>
                <c:pt idx="88">
                  <c:v>42795</c:v>
                </c:pt>
                <c:pt idx="89">
                  <c:v>42887</c:v>
                </c:pt>
                <c:pt idx="90">
                  <c:v>42979</c:v>
                </c:pt>
                <c:pt idx="91">
                  <c:v>43070</c:v>
                </c:pt>
                <c:pt idx="92">
                  <c:v>43160</c:v>
                </c:pt>
                <c:pt idx="93">
                  <c:v>43252</c:v>
                </c:pt>
                <c:pt idx="94">
                  <c:v>43344</c:v>
                </c:pt>
                <c:pt idx="95">
                  <c:v>43435</c:v>
                </c:pt>
                <c:pt idx="96">
                  <c:v>43525</c:v>
                </c:pt>
                <c:pt idx="97">
                  <c:v>43617</c:v>
                </c:pt>
                <c:pt idx="98">
                  <c:v>43709</c:v>
                </c:pt>
                <c:pt idx="99">
                  <c:v>43800</c:v>
                </c:pt>
                <c:pt idx="100">
                  <c:v>43891</c:v>
                </c:pt>
                <c:pt idx="101">
                  <c:v>43983</c:v>
                </c:pt>
                <c:pt idx="102">
                  <c:v>44075</c:v>
                </c:pt>
                <c:pt idx="103">
                  <c:v>44166</c:v>
                </c:pt>
                <c:pt idx="104">
                  <c:v>44256</c:v>
                </c:pt>
                <c:pt idx="105">
                  <c:v>44348</c:v>
                </c:pt>
                <c:pt idx="106">
                  <c:v>44440</c:v>
                </c:pt>
                <c:pt idx="107">
                  <c:v>44531</c:v>
                </c:pt>
                <c:pt idx="108">
                  <c:v>44621</c:v>
                </c:pt>
                <c:pt idx="109">
                  <c:v>44713</c:v>
                </c:pt>
                <c:pt idx="110">
                  <c:v>44805</c:v>
                </c:pt>
                <c:pt idx="111">
                  <c:v>44896</c:v>
                </c:pt>
                <c:pt idx="112">
                  <c:v>44986</c:v>
                </c:pt>
                <c:pt idx="113">
                  <c:v>45078</c:v>
                </c:pt>
                <c:pt idx="114">
                  <c:v>45170</c:v>
                </c:pt>
                <c:pt idx="115">
                  <c:v>45261</c:v>
                </c:pt>
                <c:pt idx="116">
                  <c:v>45352</c:v>
                </c:pt>
                <c:pt idx="117">
                  <c:v>45444</c:v>
                </c:pt>
                <c:pt idx="118">
                  <c:v>45536</c:v>
                </c:pt>
                <c:pt idx="119">
                  <c:v>45627</c:v>
                </c:pt>
              </c:numCache>
            </c:numRef>
          </c:cat>
          <c:val>
            <c:numRef>
              <c:f>'STP-20250425103853641'!$J$2:$J$121</c:f>
              <c:numCache>
                <c:formatCode>General</c:formatCode>
                <c:ptCount val="120"/>
                <c:pt idx="5">
                  <c:v>101.66874999999999</c:v>
                </c:pt>
                <c:pt idx="6">
                  <c:v>102.61875000000001</c:v>
                </c:pt>
                <c:pt idx="7">
                  <c:v>103.625</c:v>
                </c:pt>
                <c:pt idx="8">
                  <c:v>104.46125000000001</c:v>
                </c:pt>
                <c:pt idx="9">
                  <c:v>105.19</c:v>
                </c:pt>
                <c:pt idx="10">
                  <c:v>105.80374999999999</c:v>
                </c:pt>
                <c:pt idx="11">
                  <c:v>106.1275</c:v>
                </c:pt>
                <c:pt idx="12">
                  <c:v>106.37375</c:v>
                </c:pt>
                <c:pt idx="13">
                  <c:v>106.22874999999999</c:v>
                </c:pt>
                <c:pt idx="14">
                  <c:v>106.13249999999999</c:v>
                </c:pt>
                <c:pt idx="15">
                  <c:v>106.17749999999999</c:v>
                </c:pt>
                <c:pt idx="16">
                  <c:v>106.04</c:v>
                </c:pt>
                <c:pt idx="17">
                  <c:v>106.24375000000001</c:v>
                </c:pt>
                <c:pt idx="18">
                  <c:v>107.0925</c:v>
                </c:pt>
                <c:pt idx="19">
                  <c:v>108.17874999999999</c:v>
                </c:pt>
                <c:pt idx="20">
                  <c:v>109.32875000000001</c:v>
                </c:pt>
                <c:pt idx="21">
                  <c:v>110.57875000000001</c:v>
                </c:pt>
                <c:pt idx="22">
                  <c:v>111.6675</c:v>
                </c:pt>
                <c:pt idx="23">
                  <c:v>112.45124999999999</c:v>
                </c:pt>
                <c:pt idx="24">
                  <c:v>112.83750000000001</c:v>
                </c:pt>
                <c:pt idx="25">
                  <c:v>112.8275</c:v>
                </c:pt>
                <c:pt idx="26">
                  <c:v>112.81874999999999</c:v>
                </c:pt>
                <c:pt idx="27">
                  <c:v>113.20874999999998</c:v>
                </c:pt>
                <c:pt idx="28">
                  <c:v>114.13124999999999</c:v>
                </c:pt>
                <c:pt idx="29">
                  <c:v>115.46249999999999</c:v>
                </c:pt>
                <c:pt idx="30">
                  <c:v>116.56375</c:v>
                </c:pt>
                <c:pt idx="31">
                  <c:v>117.045</c:v>
                </c:pt>
                <c:pt idx="32">
                  <c:v>117.25125</c:v>
                </c:pt>
                <c:pt idx="33">
                  <c:v>117.4325</c:v>
                </c:pt>
                <c:pt idx="34">
                  <c:v>118.07000000000001</c:v>
                </c:pt>
                <c:pt idx="35">
                  <c:v>119.53749999999999</c:v>
                </c:pt>
                <c:pt idx="36">
                  <c:v>121.44125</c:v>
                </c:pt>
                <c:pt idx="37">
                  <c:v>123.35874999999999</c:v>
                </c:pt>
                <c:pt idx="38">
                  <c:v>124.90749999999998</c:v>
                </c:pt>
                <c:pt idx="39">
                  <c:v>126.21624999999999</c:v>
                </c:pt>
                <c:pt idx="40">
                  <c:v>127.24625</c:v>
                </c:pt>
                <c:pt idx="41">
                  <c:v>127.92749999999999</c:v>
                </c:pt>
                <c:pt idx="42">
                  <c:v>128.92750000000001</c:v>
                </c:pt>
                <c:pt idx="43">
                  <c:v>129.95374999999999</c:v>
                </c:pt>
                <c:pt idx="44">
                  <c:v>131.05625000000001</c:v>
                </c:pt>
                <c:pt idx="45">
                  <c:v>132.57</c:v>
                </c:pt>
                <c:pt idx="46">
                  <c:v>134.1825</c:v>
                </c:pt>
                <c:pt idx="47">
                  <c:v>136.09500000000003</c:v>
                </c:pt>
                <c:pt idx="48">
                  <c:v>138.17875000000001</c:v>
                </c:pt>
                <c:pt idx="49">
                  <c:v>140.315</c:v>
                </c:pt>
                <c:pt idx="50">
                  <c:v>142.48500000000001</c:v>
                </c:pt>
                <c:pt idx="51">
                  <c:v>144.63749999999999</c:v>
                </c:pt>
                <c:pt idx="52">
                  <c:v>147.01625000000001</c:v>
                </c:pt>
                <c:pt idx="53">
                  <c:v>148.46625</c:v>
                </c:pt>
                <c:pt idx="54">
                  <c:v>148.21875</c:v>
                </c:pt>
                <c:pt idx="55">
                  <c:v>147.3725</c:v>
                </c:pt>
                <c:pt idx="56">
                  <c:v>146.73499999999996</c:v>
                </c:pt>
                <c:pt idx="57">
                  <c:v>147.48875000000001</c:v>
                </c:pt>
                <c:pt idx="58">
                  <c:v>150.07500000000002</c:v>
                </c:pt>
                <c:pt idx="59">
                  <c:v>153.24124999999998</c:v>
                </c:pt>
                <c:pt idx="60">
                  <c:v>156.12124999999997</c:v>
                </c:pt>
                <c:pt idx="61">
                  <c:v>158.54249999999999</c:v>
                </c:pt>
                <c:pt idx="62">
                  <c:v>160.63249999999999</c:v>
                </c:pt>
                <c:pt idx="63">
                  <c:v>162.55624999999998</c:v>
                </c:pt>
                <c:pt idx="64">
                  <c:v>164.21249999999998</c:v>
                </c:pt>
                <c:pt idx="65">
                  <c:v>165.46</c:v>
                </c:pt>
                <c:pt idx="66">
                  <c:v>166.32750000000001</c:v>
                </c:pt>
                <c:pt idx="67">
                  <c:v>166.875</c:v>
                </c:pt>
                <c:pt idx="68">
                  <c:v>167.60749999999999</c:v>
                </c:pt>
                <c:pt idx="69">
                  <c:v>168.655</c:v>
                </c:pt>
                <c:pt idx="70">
                  <c:v>169.73000000000002</c:v>
                </c:pt>
                <c:pt idx="71">
                  <c:v>171.13</c:v>
                </c:pt>
                <c:pt idx="72">
                  <c:v>172.57375000000002</c:v>
                </c:pt>
                <c:pt idx="73">
                  <c:v>173.71625</c:v>
                </c:pt>
                <c:pt idx="74">
                  <c:v>174.98750000000001</c:v>
                </c:pt>
                <c:pt idx="75">
                  <c:v>175.62</c:v>
                </c:pt>
                <c:pt idx="76">
                  <c:v>175.38249999999999</c:v>
                </c:pt>
                <c:pt idx="77">
                  <c:v>175.19000000000003</c:v>
                </c:pt>
                <c:pt idx="78">
                  <c:v>174.78875000000002</c:v>
                </c:pt>
                <c:pt idx="79">
                  <c:v>173.84125</c:v>
                </c:pt>
                <c:pt idx="80">
                  <c:v>172.3</c:v>
                </c:pt>
                <c:pt idx="81">
                  <c:v>170.14125000000001</c:v>
                </c:pt>
                <c:pt idx="82">
                  <c:v>167.83125000000001</c:v>
                </c:pt>
                <c:pt idx="83">
                  <c:v>166.05375000000001</c:v>
                </c:pt>
                <c:pt idx="84">
                  <c:v>164.85124999999999</c:v>
                </c:pt>
                <c:pt idx="85">
                  <c:v>163.86</c:v>
                </c:pt>
                <c:pt idx="86">
                  <c:v>163.44749999999999</c:v>
                </c:pt>
                <c:pt idx="87">
                  <c:v>163.66625000000002</c:v>
                </c:pt>
                <c:pt idx="88">
                  <c:v>164.16749999999999</c:v>
                </c:pt>
                <c:pt idx="89">
                  <c:v>165.03125</c:v>
                </c:pt>
                <c:pt idx="90">
                  <c:v>165.94125</c:v>
                </c:pt>
                <c:pt idx="91">
                  <c:v>166.66125</c:v>
                </c:pt>
                <c:pt idx="92">
                  <c:v>167.42750000000001</c:v>
                </c:pt>
                <c:pt idx="93">
                  <c:v>168.18375</c:v>
                </c:pt>
                <c:pt idx="94">
                  <c:v>168.69375000000002</c:v>
                </c:pt>
                <c:pt idx="95">
                  <c:v>169.12625</c:v>
                </c:pt>
                <c:pt idx="96">
                  <c:v>169.61124999999998</c:v>
                </c:pt>
                <c:pt idx="97">
                  <c:v>170.20750000000001</c:v>
                </c:pt>
                <c:pt idx="98">
                  <c:v>170.65124999999998</c:v>
                </c:pt>
                <c:pt idx="99">
                  <c:v>168.58750000000001</c:v>
                </c:pt>
                <c:pt idx="100">
                  <c:v>165.77875</c:v>
                </c:pt>
                <c:pt idx="101">
                  <c:v>165.04875000000001</c:v>
                </c:pt>
                <c:pt idx="102">
                  <c:v>165.34375</c:v>
                </c:pt>
                <c:pt idx="103">
                  <c:v>168.07249999999999</c:v>
                </c:pt>
                <c:pt idx="104">
                  <c:v>171.32125000000002</c:v>
                </c:pt>
                <c:pt idx="105">
                  <c:v>172.52</c:v>
                </c:pt>
                <c:pt idx="106">
                  <c:v>173.14749999999998</c:v>
                </c:pt>
                <c:pt idx="107">
                  <c:v>174.22125</c:v>
                </c:pt>
                <c:pt idx="108">
                  <c:v>175.92750000000001</c:v>
                </c:pt>
                <c:pt idx="109">
                  <c:v>177.46125000000001</c:v>
                </c:pt>
                <c:pt idx="110">
                  <c:v>179.00874999999999</c:v>
                </c:pt>
                <c:pt idx="111">
                  <c:v>180.82374999999999</c:v>
                </c:pt>
                <c:pt idx="112">
                  <c:v>182.21624999999997</c:v>
                </c:pt>
                <c:pt idx="113">
                  <c:v>183.28625000000002</c:v>
                </c:pt>
                <c:pt idx="114">
                  <c:v>184.39500000000001</c:v>
                </c:pt>
                <c:pt idx="115">
                  <c:v>185.74125000000001</c:v>
                </c:pt>
                <c:pt idx="116">
                  <c:v>187.45875000000001</c:v>
                </c:pt>
                <c:pt idx="117">
                  <c:v>189.23375000000001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65-4EE6-8906-C791D60E9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8208783"/>
        <c:axId val="1478214063"/>
      </c:lineChart>
      <c:dateAx>
        <c:axId val="147820878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8214063"/>
        <c:crosses val="autoZero"/>
        <c:auto val="1"/>
        <c:lblOffset val="100"/>
        <c:baseTimeUnit val="months"/>
        <c:majorUnit val="1"/>
        <c:majorTimeUnit val="years"/>
      </c:dateAx>
      <c:valAx>
        <c:axId val="1478214063"/>
        <c:scaling>
          <c:orientation val="minMax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8208783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801582</xdr:colOff>
      <xdr:row>2</xdr:row>
      <xdr:rowOff>100330</xdr:rowOff>
    </xdr:from>
    <xdr:to>
      <xdr:col>30</xdr:col>
      <xdr:colOff>63501</xdr:colOff>
      <xdr:row>23</xdr:row>
      <xdr:rowOff>57786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B00BF74-D0DB-FDEB-7DE8-567863C53B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274321</xdr:colOff>
      <xdr:row>21</xdr:row>
      <xdr:rowOff>17357</xdr:rowOff>
    </xdr:from>
    <xdr:to>
      <xdr:col>16</xdr:col>
      <xdr:colOff>649394</xdr:colOff>
      <xdr:row>45</xdr:row>
      <xdr:rowOff>91440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DA207C4-652F-42F8-AE70-F75E923952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EB743-E28B-428B-8658-7C12CF2B0987}">
  <dimension ref="A1:S122"/>
  <sheetViews>
    <sheetView tabSelected="1" topLeftCell="K1" zoomScale="90" zoomScaleNormal="90" workbookViewId="0">
      <selection activeCell="R1" sqref="R1:S1"/>
    </sheetView>
  </sheetViews>
  <sheetFormatPr defaultRowHeight="15" x14ac:dyDescent="0.25"/>
  <cols>
    <col min="1" max="1" width="13.28515625" customWidth="1"/>
    <col min="2" max="3" width="27.140625" customWidth="1"/>
    <col min="4" max="4" width="8.85546875" customWidth="1"/>
    <col min="7" max="7" width="10.5703125" customWidth="1"/>
    <col min="8" max="8" width="10.7109375" customWidth="1"/>
    <col min="9" max="9" width="8.85546875" customWidth="1"/>
    <col min="11" max="13" width="14.85546875" customWidth="1"/>
    <col min="14" max="14" width="4.42578125" bestFit="1" customWidth="1"/>
    <col min="15" max="20" width="14.85546875" customWidth="1"/>
    <col min="22" max="23" width="10.28515625" customWidth="1"/>
    <col min="25" max="25" width="10.85546875" bestFit="1" customWidth="1"/>
  </cols>
  <sheetData>
    <row r="1" spans="1:19" s="1" customFormat="1" ht="60" x14ac:dyDescent="0.25">
      <c r="A1" s="1" t="s">
        <v>0</v>
      </c>
      <c r="B1" s="1" t="s">
        <v>1</v>
      </c>
      <c r="C1" s="1" t="s">
        <v>2</v>
      </c>
      <c r="G1" s="5" t="s">
        <v>132</v>
      </c>
      <c r="H1" s="3" t="s">
        <v>133</v>
      </c>
      <c r="J1" s="6" t="s">
        <v>134</v>
      </c>
      <c r="K1" s="1" t="s">
        <v>135</v>
      </c>
      <c r="R1" s="8" t="s">
        <v>136</v>
      </c>
      <c r="S1" s="7" t="s">
        <v>139</v>
      </c>
    </row>
    <row r="2" spans="1:19" x14ac:dyDescent="0.25">
      <c r="A2" t="s">
        <v>3</v>
      </c>
      <c r="B2">
        <v>100</v>
      </c>
      <c r="C2" t="s">
        <v>4</v>
      </c>
      <c r="E2">
        <v>1</v>
      </c>
      <c r="F2" s="2">
        <v>34759</v>
      </c>
      <c r="R2">
        <f t="shared" ref="R2:R33" si="0">VLOOKUP(E2,$M$8:$P$11,4,0)</f>
        <v>0.97766929414083636</v>
      </c>
    </row>
    <row r="3" spans="1:19" x14ac:dyDescent="0.25">
      <c r="A3" t="s">
        <v>5</v>
      </c>
      <c r="B3">
        <v>100</v>
      </c>
      <c r="C3" t="s">
        <v>4</v>
      </c>
      <c r="E3">
        <v>2</v>
      </c>
      <c r="F3" s="2">
        <v>34851</v>
      </c>
      <c r="R3">
        <f t="shared" si="0"/>
        <v>0.99688843831592022</v>
      </c>
    </row>
    <row r="4" spans="1:19" x14ac:dyDescent="0.25">
      <c r="A4" t="s">
        <v>6</v>
      </c>
      <c r="B4">
        <v>100</v>
      </c>
      <c r="C4" t="s">
        <v>4</v>
      </c>
      <c r="E4">
        <v>3</v>
      </c>
      <c r="F4" s="2">
        <v>34943</v>
      </c>
      <c r="R4">
        <f t="shared" si="0"/>
        <v>1.0217157645282833</v>
      </c>
    </row>
    <row r="5" spans="1:19" x14ac:dyDescent="0.25">
      <c r="A5" t="s">
        <v>7</v>
      </c>
      <c r="B5">
        <v>100</v>
      </c>
      <c r="C5" t="s">
        <v>4</v>
      </c>
      <c r="E5">
        <v>4</v>
      </c>
      <c r="F5" s="2">
        <v>35034</v>
      </c>
      <c r="G5">
        <f t="shared" ref="G5:G66" si="1">B5</f>
        <v>100</v>
      </c>
      <c r="R5">
        <f t="shared" si="0"/>
        <v>1.005158592652424</v>
      </c>
      <c r="S5">
        <f t="shared" ref="S5:S36" si="2">G5/R5</f>
        <v>99.48678818545325</v>
      </c>
    </row>
    <row r="6" spans="1:19" x14ac:dyDescent="0.25">
      <c r="A6" t="s">
        <v>8</v>
      </c>
      <c r="B6">
        <v>96.84</v>
      </c>
      <c r="C6">
        <v>99.4</v>
      </c>
      <c r="E6">
        <v>1</v>
      </c>
      <c r="F6" s="2">
        <v>35125</v>
      </c>
      <c r="G6">
        <f t="shared" si="1"/>
        <v>96.84</v>
      </c>
      <c r="H6">
        <f t="shared" ref="H6:H66" si="3">C6</f>
        <v>99.4</v>
      </c>
      <c r="O6" t="s">
        <v>126</v>
      </c>
      <c r="R6">
        <f t="shared" si="0"/>
        <v>0.97766929414083636</v>
      </c>
      <c r="S6">
        <f t="shared" si="2"/>
        <v>99.051898817280332</v>
      </c>
    </row>
    <row r="7" spans="1:19" x14ac:dyDescent="0.25">
      <c r="A7" t="s">
        <v>9</v>
      </c>
      <c r="B7">
        <v>100.12</v>
      </c>
      <c r="C7">
        <v>100.66</v>
      </c>
      <c r="E7">
        <v>2</v>
      </c>
      <c r="F7" s="2">
        <v>35217</v>
      </c>
      <c r="G7">
        <f t="shared" si="1"/>
        <v>100.12</v>
      </c>
      <c r="H7">
        <f t="shared" si="3"/>
        <v>100.66</v>
      </c>
      <c r="J7">
        <f>(G7+G8+G6+0.5*G9+0.5*G5)/4</f>
        <v>101.66874999999999</v>
      </c>
      <c r="K7">
        <f>G7/J7</f>
        <v>0.98476670560029522</v>
      </c>
      <c r="O7" t="s">
        <v>131</v>
      </c>
      <c r="P7" t="s">
        <v>137</v>
      </c>
      <c r="R7">
        <f t="shared" si="0"/>
        <v>0.99688843831592022</v>
      </c>
      <c r="S7">
        <f t="shared" si="2"/>
        <v>100.43250192482556</v>
      </c>
    </row>
    <row r="8" spans="1:19" x14ac:dyDescent="0.25">
      <c r="A8" t="s">
        <v>10</v>
      </c>
      <c r="B8">
        <v>107.56</v>
      </c>
      <c r="C8">
        <v>104.15</v>
      </c>
      <c r="E8">
        <v>3</v>
      </c>
      <c r="F8" s="2">
        <v>35309</v>
      </c>
      <c r="G8">
        <f t="shared" si="1"/>
        <v>107.56</v>
      </c>
      <c r="H8">
        <f t="shared" si="3"/>
        <v>104.15</v>
      </c>
      <c r="J8">
        <f t="shared" ref="J7:J13" si="4">(G8+G9+G7+0.5*G10+0.5*G6)/4</f>
        <v>102.61875000000001</v>
      </c>
      <c r="K8">
        <f t="shared" ref="K8:K71" si="5">G8/J8</f>
        <v>1.0481515317619829</v>
      </c>
      <c r="M8">
        <v>1</v>
      </c>
      <c r="N8" t="s">
        <v>130</v>
      </c>
      <c r="O8">
        <f>AVERAGEIF(E:E,"=1",K:K)</f>
        <v>0.97736677021503893</v>
      </c>
      <c r="P8" s="9">
        <f>O8/$O$13</f>
        <v>0.97766929414083636</v>
      </c>
      <c r="R8">
        <f t="shared" si="0"/>
        <v>1.0217157645282833</v>
      </c>
      <c r="S8">
        <f t="shared" si="2"/>
        <v>105.27389684513624</v>
      </c>
    </row>
    <row r="9" spans="1:19" x14ac:dyDescent="0.25">
      <c r="A9" t="s">
        <v>11</v>
      </c>
      <c r="B9">
        <v>104.31</v>
      </c>
      <c r="C9">
        <v>103.38</v>
      </c>
      <c r="E9">
        <v>4</v>
      </c>
      <c r="F9" s="2">
        <v>35400</v>
      </c>
      <c r="G9">
        <f t="shared" si="1"/>
        <v>104.31</v>
      </c>
      <c r="H9">
        <f t="shared" si="3"/>
        <v>103.38</v>
      </c>
      <c r="J9">
        <f t="shared" si="4"/>
        <v>103.625</v>
      </c>
      <c r="K9">
        <f t="shared" si="5"/>
        <v>1.0066103739445116</v>
      </c>
      <c r="M9">
        <v>2</v>
      </c>
      <c r="N9" t="s">
        <v>127</v>
      </c>
      <c r="O9">
        <f>AVERAGEIF(E:E,"=2",K:K)</f>
        <v>0.99657996733728893</v>
      </c>
      <c r="P9" s="9">
        <f>O9/$O$13</f>
        <v>0.99688843831592022</v>
      </c>
      <c r="R9">
        <f t="shared" si="0"/>
        <v>1.005158592652424</v>
      </c>
      <c r="S9">
        <f t="shared" si="2"/>
        <v>103.7746687562463</v>
      </c>
    </row>
    <row r="10" spans="1:19" x14ac:dyDescent="0.25">
      <c r="A10" t="s">
        <v>12</v>
      </c>
      <c r="B10">
        <v>100.13</v>
      </c>
      <c r="C10">
        <v>104.42</v>
      </c>
      <c r="E10">
        <v>1</v>
      </c>
      <c r="F10" s="2">
        <v>35490</v>
      </c>
      <c r="G10">
        <f t="shared" si="1"/>
        <v>100.13</v>
      </c>
      <c r="H10">
        <f t="shared" si="3"/>
        <v>104.42</v>
      </c>
      <c r="J10">
        <f t="shared" si="4"/>
        <v>104.46125000000001</v>
      </c>
      <c r="K10">
        <f t="shared" si="5"/>
        <v>0.95853725663822698</v>
      </c>
      <c r="M10">
        <v>3</v>
      </c>
      <c r="N10" t="s">
        <v>128</v>
      </c>
      <c r="O10">
        <f>AVERAGEIF(E:E,"=3",K:K)</f>
        <v>1.0213996111357337</v>
      </c>
      <c r="P10" s="9">
        <f>O10/$O$13</f>
        <v>1.0217157645282833</v>
      </c>
      <c r="R10">
        <f t="shared" si="0"/>
        <v>0.97766929414083636</v>
      </c>
      <c r="S10">
        <f t="shared" si="2"/>
        <v>102.41704490473232</v>
      </c>
    </row>
    <row r="11" spans="1:19" x14ac:dyDescent="0.25">
      <c r="A11" t="s">
        <v>13</v>
      </c>
      <c r="B11">
        <v>104.88</v>
      </c>
      <c r="C11">
        <v>105</v>
      </c>
      <c r="E11">
        <v>2</v>
      </c>
      <c r="F11" s="2">
        <v>35582</v>
      </c>
      <c r="G11">
        <f t="shared" si="1"/>
        <v>104.88</v>
      </c>
      <c r="H11">
        <f t="shared" si="3"/>
        <v>105</v>
      </c>
      <c r="J11">
        <f t="shared" si="4"/>
        <v>105.19</v>
      </c>
      <c r="K11">
        <f t="shared" si="5"/>
        <v>0.997052951801502</v>
      </c>
      <c r="M11">
        <v>4</v>
      </c>
      <c r="N11" t="s">
        <v>129</v>
      </c>
      <c r="O11">
        <f>AVERAGEIF(E:E,"=4",K:K)</f>
        <v>1.0048475626085016</v>
      </c>
      <c r="P11" s="9">
        <f>O11/$O$13</f>
        <v>1.005158592652424</v>
      </c>
      <c r="R11">
        <f t="shared" si="0"/>
        <v>0.99688843831592022</v>
      </c>
      <c r="S11">
        <f t="shared" si="2"/>
        <v>105.20735918773175</v>
      </c>
    </row>
    <row r="12" spans="1:19" x14ac:dyDescent="0.25">
      <c r="A12" t="s">
        <v>14</v>
      </c>
      <c r="B12">
        <v>109.49</v>
      </c>
      <c r="C12">
        <v>106.13</v>
      </c>
      <c r="E12">
        <v>3</v>
      </c>
      <c r="F12" s="2">
        <v>35674</v>
      </c>
      <c r="G12">
        <f t="shared" si="1"/>
        <v>109.49</v>
      </c>
      <c r="H12">
        <f t="shared" si="3"/>
        <v>106.13</v>
      </c>
      <c r="J12">
        <f t="shared" si="4"/>
        <v>105.80374999999999</v>
      </c>
      <c r="K12">
        <f t="shared" si="5"/>
        <v>1.0348404475266708</v>
      </c>
      <c r="R12">
        <f t="shared" si="0"/>
        <v>1.0217157645282833</v>
      </c>
      <c r="S12">
        <f t="shared" si="2"/>
        <v>107.16287621396398</v>
      </c>
    </row>
    <row r="13" spans="1:19" x14ac:dyDescent="0.25">
      <c r="A13" t="s">
        <v>15</v>
      </c>
      <c r="B13">
        <v>108.21</v>
      </c>
      <c r="C13">
        <v>107.22</v>
      </c>
      <c r="E13">
        <v>4</v>
      </c>
      <c r="F13" s="2">
        <v>35765</v>
      </c>
      <c r="G13">
        <f t="shared" si="1"/>
        <v>108.21</v>
      </c>
      <c r="H13">
        <f t="shared" si="3"/>
        <v>107.22</v>
      </c>
      <c r="J13">
        <f t="shared" si="4"/>
        <v>106.1275</v>
      </c>
      <c r="K13">
        <f t="shared" si="5"/>
        <v>1.0196226237308896</v>
      </c>
      <c r="N13" s="4" t="s">
        <v>138</v>
      </c>
      <c r="O13">
        <f>PRODUCT(O8:O11)</f>
        <v>0.99969056619900976</v>
      </c>
      <c r="R13">
        <f t="shared" si="0"/>
        <v>1.005158592652424</v>
      </c>
      <c r="S13">
        <f t="shared" si="2"/>
        <v>107.65465349547897</v>
      </c>
    </row>
    <row r="14" spans="1:19" x14ac:dyDescent="0.25">
      <c r="A14" t="s">
        <v>16</v>
      </c>
      <c r="B14">
        <v>101.14</v>
      </c>
      <c r="C14">
        <v>105.1</v>
      </c>
      <c r="E14">
        <v>1</v>
      </c>
      <c r="F14" s="2">
        <v>35855</v>
      </c>
      <c r="G14">
        <f t="shared" si="1"/>
        <v>101.14</v>
      </c>
      <c r="H14">
        <f t="shared" si="3"/>
        <v>105.1</v>
      </c>
      <c r="J14">
        <f>(G14+G15+G13+0.5*G16+0.5*G12)/4</f>
        <v>106.37375</v>
      </c>
      <c r="K14">
        <f t="shared" si="5"/>
        <v>0.9507984817682934</v>
      </c>
      <c r="R14">
        <f t="shared" si="0"/>
        <v>0.97766929414083636</v>
      </c>
      <c r="S14">
        <f t="shared" si="2"/>
        <v>103.45011406835742</v>
      </c>
    </row>
    <row r="15" spans="1:19" x14ac:dyDescent="0.25">
      <c r="A15" t="s">
        <v>17</v>
      </c>
      <c r="B15">
        <v>106.46</v>
      </c>
      <c r="C15">
        <v>106.81</v>
      </c>
      <c r="E15">
        <v>2</v>
      </c>
      <c r="F15" s="2">
        <v>35947</v>
      </c>
      <c r="G15">
        <f t="shared" si="1"/>
        <v>106.46</v>
      </c>
      <c r="H15">
        <f t="shared" si="3"/>
        <v>106.81</v>
      </c>
      <c r="J15">
        <f t="shared" ref="J15:J78" si="6">(G15+G16+G14+0.5*G17+0.5*G13)/4</f>
        <v>106.22874999999999</v>
      </c>
      <c r="K15">
        <f t="shared" si="5"/>
        <v>1.0021769059694292</v>
      </c>
      <c r="R15">
        <f t="shared" si="0"/>
        <v>0.99688843831592022</v>
      </c>
      <c r="S15">
        <f t="shared" si="2"/>
        <v>106.79229080020903</v>
      </c>
    </row>
    <row r="16" spans="1:19" x14ac:dyDescent="0.25">
      <c r="A16" t="s">
        <v>18</v>
      </c>
      <c r="B16">
        <v>109.88</v>
      </c>
      <c r="C16">
        <v>106.72</v>
      </c>
      <c r="E16">
        <v>3</v>
      </c>
      <c r="F16" s="2">
        <v>36039</v>
      </c>
      <c r="G16">
        <f t="shared" si="1"/>
        <v>109.88</v>
      </c>
      <c r="H16">
        <f t="shared" si="3"/>
        <v>106.72</v>
      </c>
      <c r="J16">
        <f t="shared" si="6"/>
        <v>106.13249999999999</v>
      </c>
      <c r="K16">
        <f t="shared" si="5"/>
        <v>1.0353096365392316</v>
      </c>
      <c r="R16">
        <f t="shared" si="0"/>
        <v>1.0217157645282833</v>
      </c>
      <c r="S16">
        <f t="shared" si="2"/>
        <v>107.54458707087737</v>
      </c>
    </row>
    <row r="17" spans="1:19" x14ac:dyDescent="0.25">
      <c r="A17" t="s">
        <v>19</v>
      </c>
      <c r="B17">
        <v>106.66</v>
      </c>
      <c r="C17">
        <v>105.65</v>
      </c>
      <c r="E17">
        <v>4</v>
      </c>
      <c r="F17" s="2">
        <v>36130</v>
      </c>
      <c r="G17">
        <f t="shared" si="1"/>
        <v>106.66</v>
      </c>
      <c r="H17">
        <f t="shared" si="3"/>
        <v>105.65</v>
      </c>
      <c r="J17">
        <f t="shared" si="6"/>
        <v>106.17749999999999</v>
      </c>
      <c r="K17">
        <f t="shared" si="5"/>
        <v>1.00454427727155</v>
      </c>
      <c r="R17">
        <f t="shared" si="0"/>
        <v>1.005158592652424</v>
      </c>
      <c r="S17">
        <f t="shared" si="2"/>
        <v>106.11260827860444</v>
      </c>
    </row>
    <row r="18" spans="1:19" x14ac:dyDescent="0.25">
      <c r="A18" t="s">
        <v>20</v>
      </c>
      <c r="B18">
        <v>101.92</v>
      </c>
      <c r="C18">
        <v>105.82</v>
      </c>
      <c r="E18">
        <v>1</v>
      </c>
      <c r="F18" s="2">
        <v>36220</v>
      </c>
      <c r="G18">
        <f t="shared" si="1"/>
        <v>101.92</v>
      </c>
      <c r="H18">
        <f t="shared" si="3"/>
        <v>105.82</v>
      </c>
      <c r="J18">
        <f t="shared" si="6"/>
        <v>106.04</v>
      </c>
      <c r="K18">
        <f t="shared" si="5"/>
        <v>0.96114673708034704</v>
      </c>
      <c r="R18">
        <f t="shared" si="0"/>
        <v>0.97766929414083636</v>
      </c>
      <c r="S18">
        <f t="shared" si="2"/>
        <v>104.24792985808767</v>
      </c>
    </row>
    <row r="19" spans="1:19" x14ac:dyDescent="0.25">
      <c r="A19" t="s">
        <v>21</v>
      </c>
      <c r="B19">
        <v>106.04</v>
      </c>
      <c r="C19">
        <v>106.26</v>
      </c>
      <c r="E19">
        <v>2</v>
      </c>
      <c r="F19" s="2">
        <v>36312</v>
      </c>
      <c r="G19">
        <f t="shared" si="1"/>
        <v>106.04</v>
      </c>
      <c r="H19">
        <f t="shared" si="3"/>
        <v>106.26</v>
      </c>
      <c r="J19">
        <f t="shared" si="6"/>
        <v>106.24375000000001</v>
      </c>
      <c r="K19">
        <f t="shared" si="5"/>
        <v>0.99808224013177249</v>
      </c>
      <c r="R19">
        <f t="shared" si="0"/>
        <v>0.99688843831592022</v>
      </c>
      <c r="S19">
        <f t="shared" si="2"/>
        <v>106.37097986524672</v>
      </c>
    </row>
    <row r="20" spans="1:19" x14ac:dyDescent="0.25">
      <c r="A20" t="s">
        <v>22</v>
      </c>
      <c r="B20">
        <v>109.2</v>
      </c>
      <c r="C20">
        <v>106.37</v>
      </c>
      <c r="E20">
        <v>3</v>
      </c>
      <c r="F20" s="2">
        <v>36404</v>
      </c>
      <c r="G20">
        <f t="shared" si="1"/>
        <v>109.2</v>
      </c>
      <c r="H20">
        <f t="shared" si="3"/>
        <v>106.37</v>
      </c>
      <c r="J20">
        <f t="shared" si="6"/>
        <v>107.0925</v>
      </c>
      <c r="K20">
        <f t="shared" si="5"/>
        <v>1.0196792492471463</v>
      </c>
      <c r="R20">
        <f t="shared" si="0"/>
        <v>1.0217157645282833</v>
      </c>
      <c r="S20">
        <f t="shared" si="2"/>
        <v>106.87903993574635</v>
      </c>
    </row>
    <row r="21" spans="1:19" x14ac:dyDescent="0.25">
      <c r="A21" t="s">
        <v>23</v>
      </c>
      <c r="B21">
        <v>108.97</v>
      </c>
      <c r="C21">
        <v>107.83</v>
      </c>
      <c r="E21">
        <v>4</v>
      </c>
      <c r="F21" s="2">
        <v>36495</v>
      </c>
      <c r="G21">
        <f t="shared" si="1"/>
        <v>108.97</v>
      </c>
      <c r="H21">
        <f t="shared" si="3"/>
        <v>107.83</v>
      </c>
      <c r="J21">
        <f t="shared" si="6"/>
        <v>108.17874999999999</v>
      </c>
      <c r="K21">
        <f t="shared" si="5"/>
        <v>1.0073142830731545</v>
      </c>
      <c r="R21">
        <f t="shared" si="0"/>
        <v>1.005158592652424</v>
      </c>
      <c r="S21">
        <f t="shared" si="2"/>
        <v>108.41075308568841</v>
      </c>
    </row>
    <row r="22" spans="1:19" x14ac:dyDescent="0.25">
      <c r="A22" t="s">
        <v>24</v>
      </c>
      <c r="B22">
        <v>106.4</v>
      </c>
      <c r="C22">
        <v>109</v>
      </c>
      <c r="E22">
        <v>1</v>
      </c>
      <c r="F22" s="2">
        <v>36586</v>
      </c>
      <c r="G22">
        <f t="shared" si="1"/>
        <v>106.4</v>
      </c>
      <c r="H22">
        <f t="shared" si="3"/>
        <v>109</v>
      </c>
      <c r="J22">
        <f t="shared" si="6"/>
        <v>109.32875000000001</v>
      </c>
      <c r="K22">
        <f t="shared" si="5"/>
        <v>0.97321152944673739</v>
      </c>
      <c r="R22">
        <f t="shared" si="0"/>
        <v>0.97766929414083636</v>
      </c>
      <c r="S22">
        <f t="shared" si="2"/>
        <v>108.83025644525637</v>
      </c>
    </row>
    <row r="23" spans="1:19" x14ac:dyDescent="0.25">
      <c r="A23" t="s">
        <v>25</v>
      </c>
      <c r="B23">
        <v>110.25</v>
      </c>
      <c r="C23">
        <v>110.45</v>
      </c>
      <c r="E23">
        <v>2</v>
      </c>
      <c r="F23" s="2">
        <v>36678</v>
      </c>
      <c r="G23">
        <f t="shared" si="1"/>
        <v>110.25</v>
      </c>
      <c r="H23">
        <f t="shared" si="3"/>
        <v>110.45</v>
      </c>
      <c r="J23">
        <f t="shared" si="6"/>
        <v>110.57875000000001</v>
      </c>
      <c r="K23">
        <f t="shared" si="5"/>
        <v>0.99702700564077629</v>
      </c>
      <c r="R23">
        <f t="shared" si="0"/>
        <v>0.99688843831592022</v>
      </c>
      <c r="S23">
        <f t="shared" si="2"/>
        <v>110.59412042760705</v>
      </c>
    </row>
    <row r="24" spans="1:19" x14ac:dyDescent="0.25">
      <c r="A24" t="s">
        <v>26</v>
      </c>
      <c r="B24">
        <v>114.19</v>
      </c>
      <c r="C24">
        <v>111.97</v>
      </c>
      <c r="E24">
        <v>3</v>
      </c>
      <c r="F24" s="2">
        <v>36770</v>
      </c>
      <c r="G24">
        <f t="shared" si="1"/>
        <v>114.19</v>
      </c>
      <c r="H24">
        <f t="shared" si="3"/>
        <v>111.97</v>
      </c>
      <c r="J24">
        <f t="shared" si="6"/>
        <v>111.6675</v>
      </c>
      <c r="K24">
        <f t="shared" si="5"/>
        <v>1.0225893836613158</v>
      </c>
      <c r="R24">
        <f t="shared" si="0"/>
        <v>1.0217157645282833</v>
      </c>
      <c r="S24">
        <f t="shared" si="2"/>
        <v>111.76298141266369</v>
      </c>
    </row>
    <row r="25" spans="1:19" x14ac:dyDescent="0.25">
      <c r="A25" t="s">
        <v>27</v>
      </c>
      <c r="B25">
        <v>113.98</v>
      </c>
      <c r="C25">
        <v>113.24</v>
      </c>
      <c r="E25">
        <v>4</v>
      </c>
      <c r="F25" s="2">
        <v>36861</v>
      </c>
      <c r="G25">
        <f t="shared" si="1"/>
        <v>113.98</v>
      </c>
      <c r="H25">
        <f t="shared" si="3"/>
        <v>113.24</v>
      </c>
      <c r="J25">
        <f t="shared" si="6"/>
        <v>112.45124999999999</v>
      </c>
      <c r="K25">
        <f t="shared" si="5"/>
        <v>1.0135947799602052</v>
      </c>
      <c r="R25">
        <f t="shared" si="0"/>
        <v>1.005158592652424</v>
      </c>
      <c r="S25">
        <f t="shared" si="2"/>
        <v>113.39504117377963</v>
      </c>
    </row>
    <row r="26" spans="1:19" x14ac:dyDescent="0.25">
      <c r="A26" t="s">
        <v>28</v>
      </c>
      <c r="B26">
        <v>110.1</v>
      </c>
      <c r="C26">
        <v>113.5</v>
      </c>
      <c r="E26">
        <v>1</v>
      </c>
      <c r="F26" s="2">
        <v>36951</v>
      </c>
      <c r="G26">
        <f t="shared" si="1"/>
        <v>110.1</v>
      </c>
      <c r="H26">
        <f t="shared" si="3"/>
        <v>113.5</v>
      </c>
      <c r="J26">
        <f t="shared" si="6"/>
        <v>112.83750000000001</v>
      </c>
      <c r="K26">
        <f t="shared" si="5"/>
        <v>0.97573944832170145</v>
      </c>
      <c r="R26">
        <f t="shared" si="0"/>
        <v>0.97766929414083636</v>
      </c>
      <c r="S26">
        <f t="shared" si="2"/>
        <v>112.61476724269478</v>
      </c>
    </row>
    <row r="27" spans="1:19" x14ac:dyDescent="0.25">
      <c r="A27" t="s">
        <v>29</v>
      </c>
      <c r="B27">
        <v>112.82</v>
      </c>
      <c r="C27">
        <v>113.09</v>
      </c>
      <c r="E27">
        <v>2</v>
      </c>
      <c r="F27" s="2">
        <v>37043</v>
      </c>
      <c r="G27">
        <f t="shared" si="1"/>
        <v>112.82</v>
      </c>
      <c r="H27">
        <f t="shared" si="3"/>
        <v>113.09</v>
      </c>
      <c r="J27">
        <f t="shared" si="6"/>
        <v>112.8275</v>
      </c>
      <c r="K27">
        <f t="shared" si="5"/>
        <v>0.9999335268440761</v>
      </c>
      <c r="R27">
        <f t="shared" si="0"/>
        <v>0.99688843831592022</v>
      </c>
      <c r="S27">
        <f t="shared" si="2"/>
        <v>113.17214210106691</v>
      </c>
    </row>
    <row r="28" spans="1:19" x14ac:dyDescent="0.25">
      <c r="A28" t="s">
        <v>30</v>
      </c>
      <c r="B28">
        <v>114.71</v>
      </c>
      <c r="C28">
        <v>112.59</v>
      </c>
      <c r="E28">
        <v>3</v>
      </c>
      <c r="F28" s="2">
        <v>37135</v>
      </c>
      <c r="G28">
        <f t="shared" si="1"/>
        <v>114.71</v>
      </c>
      <c r="H28">
        <f t="shared" si="3"/>
        <v>112.59</v>
      </c>
      <c r="J28">
        <f t="shared" si="6"/>
        <v>112.81874999999999</v>
      </c>
      <c r="K28">
        <f t="shared" si="5"/>
        <v>1.0167636142041991</v>
      </c>
      <c r="R28">
        <f t="shared" si="0"/>
        <v>1.0217157645282833</v>
      </c>
      <c r="S28">
        <f t="shared" si="2"/>
        <v>112.27192922188152</v>
      </c>
    </row>
    <row r="29" spans="1:19" x14ac:dyDescent="0.25">
      <c r="A29" t="s">
        <v>31</v>
      </c>
      <c r="B29">
        <v>113.38</v>
      </c>
      <c r="C29">
        <v>112.06</v>
      </c>
      <c r="E29">
        <v>4</v>
      </c>
      <c r="F29" s="2">
        <v>37226</v>
      </c>
      <c r="G29">
        <f t="shared" si="1"/>
        <v>113.38</v>
      </c>
      <c r="H29">
        <f t="shared" si="3"/>
        <v>112.06</v>
      </c>
      <c r="J29">
        <f t="shared" si="6"/>
        <v>113.20874999999998</v>
      </c>
      <c r="K29">
        <f t="shared" si="5"/>
        <v>1.0015126922609783</v>
      </c>
      <c r="R29">
        <f t="shared" si="0"/>
        <v>1.005158592652424</v>
      </c>
      <c r="S29">
        <f t="shared" si="2"/>
        <v>112.79812044466689</v>
      </c>
    </row>
    <row r="30" spans="1:19" x14ac:dyDescent="0.25">
      <c r="A30" t="s">
        <v>32</v>
      </c>
      <c r="B30">
        <v>110.63</v>
      </c>
      <c r="C30">
        <v>114.91</v>
      </c>
      <c r="E30">
        <v>1</v>
      </c>
      <c r="F30" s="2">
        <v>37316</v>
      </c>
      <c r="G30">
        <f t="shared" si="1"/>
        <v>110.63</v>
      </c>
      <c r="H30">
        <f t="shared" si="3"/>
        <v>114.91</v>
      </c>
      <c r="J30">
        <f t="shared" si="6"/>
        <v>114.13124999999999</v>
      </c>
      <c r="K30">
        <f t="shared" si="5"/>
        <v>0.96932260007666615</v>
      </c>
      <c r="R30">
        <f t="shared" si="0"/>
        <v>0.97766929414083636</v>
      </c>
      <c r="S30">
        <f t="shared" si="2"/>
        <v>113.15687284340895</v>
      </c>
    </row>
    <row r="31" spans="1:19" x14ac:dyDescent="0.25">
      <c r="A31" t="s">
        <v>33</v>
      </c>
      <c r="B31">
        <v>115.41</v>
      </c>
      <c r="C31">
        <v>115.32</v>
      </c>
      <c r="E31">
        <v>2</v>
      </c>
      <c r="F31" s="2">
        <v>37408</v>
      </c>
      <c r="G31">
        <f t="shared" si="1"/>
        <v>115.41</v>
      </c>
      <c r="H31">
        <f t="shared" si="3"/>
        <v>115.32</v>
      </c>
      <c r="J31">
        <f t="shared" si="6"/>
        <v>115.46249999999999</v>
      </c>
      <c r="K31">
        <f t="shared" si="5"/>
        <v>0.9995453069178305</v>
      </c>
      <c r="R31">
        <f t="shared" si="0"/>
        <v>0.99688843831592022</v>
      </c>
      <c r="S31">
        <f t="shared" si="2"/>
        <v>115.77022620000118</v>
      </c>
    </row>
    <row r="32" spans="1:19" x14ac:dyDescent="0.25">
      <c r="A32" t="s">
        <v>34</v>
      </c>
      <c r="B32">
        <v>119.5</v>
      </c>
      <c r="C32">
        <v>116.76</v>
      </c>
      <c r="E32">
        <v>3</v>
      </c>
      <c r="F32" s="2">
        <v>37500</v>
      </c>
      <c r="G32">
        <f t="shared" si="1"/>
        <v>119.5</v>
      </c>
      <c r="H32">
        <f t="shared" si="3"/>
        <v>116.76</v>
      </c>
      <c r="J32">
        <f t="shared" si="6"/>
        <v>116.56375</v>
      </c>
      <c r="K32">
        <f t="shared" si="5"/>
        <v>1.0251900783905803</v>
      </c>
      <c r="R32">
        <f t="shared" si="0"/>
        <v>1.0217157645282833</v>
      </c>
      <c r="S32">
        <f t="shared" si="2"/>
        <v>116.9601215414074</v>
      </c>
    </row>
    <row r="33" spans="1:19" x14ac:dyDescent="0.25">
      <c r="A33" t="s">
        <v>35</v>
      </c>
      <c r="B33">
        <v>119.24</v>
      </c>
      <c r="C33">
        <v>117.91</v>
      </c>
      <c r="E33">
        <v>4</v>
      </c>
      <c r="F33" s="2">
        <v>37591</v>
      </c>
      <c r="G33">
        <f t="shared" si="1"/>
        <v>119.24</v>
      </c>
      <c r="H33">
        <f t="shared" si="3"/>
        <v>117.91</v>
      </c>
      <c r="J33">
        <f t="shared" si="6"/>
        <v>117.045</v>
      </c>
      <c r="K33">
        <f t="shared" si="5"/>
        <v>1.0187534708872654</v>
      </c>
      <c r="R33">
        <f t="shared" si="0"/>
        <v>1.005158592652424</v>
      </c>
      <c r="S33">
        <f t="shared" si="2"/>
        <v>118.62804623233446</v>
      </c>
    </row>
    <row r="34" spans="1:19" x14ac:dyDescent="0.25">
      <c r="A34" t="s">
        <v>36</v>
      </c>
      <c r="B34">
        <v>113.58</v>
      </c>
      <c r="C34">
        <v>117.52</v>
      </c>
      <c r="E34">
        <v>1</v>
      </c>
      <c r="F34" s="2">
        <v>37681</v>
      </c>
      <c r="G34">
        <f t="shared" si="1"/>
        <v>113.58</v>
      </c>
      <c r="H34">
        <f t="shared" si="3"/>
        <v>117.52</v>
      </c>
      <c r="J34">
        <f t="shared" si="6"/>
        <v>117.25125</v>
      </c>
      <c r="K34">
        <f t="shared" si="5"/>
        <v>0.96868903316595767</v>
      </c>
      <c r="R34">
        <f t="shared" ref="R34:R65" si="7">VLOOKUP(E34,$M$8:$P$11,4,0)</f>
        <v>0.97766929414083636</v>
      </c>
      <c r="S34">
        <f t="shared" si="2"/>
        <v>116.17425307379904</v>
      </c>
    </row>
    <row r="35" spans="1:19" x14ac:dyDescent="0.25">
      <c r="A35" t="s">
        <v>37</v>
      </c>
      <c r="B35">
        <v>116.31</v>
      </c>
      <c r="C35">
        <v>116.54</v>
      </c>
      <c r="E35">
        <v>2</v>
      </c>
      <c r="F35" s="2">
        <v>37773</v>
      </c>
      <c r="G35">
        <f t="shared" si="1"/>
        <v>116.31</v>
      </c>
      <c r="H35">
        <f t="shared" si="3"/>
        <v>116.54</v>
      </c>
      <c r="J35">
        <f t="shared" si="6"/>
        <v>117.4325</v>
      </c>
      <c r="K35">
        <f t="shared" si="5"/>
        <v>0.99044131735252161</v>
      </c>
      <c r="R35">
        <f t="shared" si="7"/>
        <v>0.99688843831592022</v>
      </c>
      <c r="S35">
        <f t="shared" si="2"/>
        <v>116.67303534634898</v>
      </c>
    </row>
    <row r="36" spans="1:19" x14ac:dyDescent="0.25">
      <c r="A36" t="s">
        <v>38</v>
      </c>
      <c r="B36">
        <v>120.25</v>
      </c>
      <c r="C36">
        <v>117.52</v>
      </c>
      <c r="E36">
        <v>3</v>
      </c>
      <c r="F36" s="2">
        <v>37865</v>
      </c>
      <c r="G36">
        <f t="shared" si="1"/>
        <v>120.25</v>
      </c>
      <c r="H36">
        <f t="shared" si="3"/>
        <v>117.52</v>
      </c>
      <c r="J36">
        <f t="shared" si="6"/>
        <v>118.07000000000001</v>
      </c>
      <c r="K36">
        <f t="shared" si="5"/>
        <v>1.0184636232743287</v>
      </c>
      <c r="R36">
        <f t="shared" si="7"/>
        <v>1.0217157645282833</v>
      </c>
      <c r="S36">
        <f t="shared" si="2"/>
        <v>117.69418088162544</v>
      </c>
    </row>
    <row r="37" spans="1:19" x14ac:dyDescent="0.25">
      <c r="A37" t="s">
        <v>39</v>
      </c>
      <c r="B37">
        <v>119.94</v>
      </c>
      <c r="C37">
        <v>118.74</v>
      </c>
      <c r="E37">
        <v>4</v>
      </c>
      <c r="F37" s="2">
        <v>37956</v>
      </c>
      <c r="G37">
        <f t="shared" si="1"/>
        <v>119.94</v>
      </c>
      <c r="H37">
        <f t="shared" si="3"/>
        <v>118.74</v>
      </c>
      <c r="J37">
        <f t="shared" si="6"/>
        <v>119.53749999999999</v>
      </c>
      <c r="K37">
        <f t="shared" si="5"/>
        <v>1.0033671442016103</v>
      </c>
      <c r="R37">
        <f t="shared" si="7"/>
        <v>1.005158592652424</v>
      </c>
      <c r="S37">
        <f t="shared" ref="S37:S68" si="8">G37/R37</f>
        <v>119.32445374963264</v>
      </c>
    </row>
    <row r="38" spans="1:19" x14ac:dyDescent="0.25">
      <c r="A38" t="s">
        <v>40</v>
      </c>
      <c r="B38">
        <v>117.98</v>
      </c>
      <c r="C38">
        <v>120.5</v>
      </c>
      <c r="E38">
        <v>1</v>
      </c>
      <c r="F38" s="2">
        <v>38047</v>
      </c>
      <c r="G38">
        <f t="shared" si="1"/>
        <v>117.98</v>
      </c>
      <c r="H38">
        <f t="shared" si="3"/>
        <v>120.5</v>
      </c>
      <c r="J38">
        <f t="shared" si="6"/>
        <v>121.44125</v>
      </c>
      <c r="K38">
        <f t="shared" si="5"/>
        <v>0.97149856412051105</v>
      </c>
      <c r="R38">
        <f t="shared" si="7"/>
        <v>0.97766929414083636</v>
      </c>
      <c r="S38">
        <f t="shared" si="8"/>
        <v>120.67475240048257</v>
      </c>
    </row>
    <row r="39" spans="1:19" x14ac:dyDescent="0.25">
      <c r="A39" t="s">
        <v>41</v>
      </c>
      <c r="B39">
        <v>123.65</v>
      </c>
      <c r="C39">
        <v>123.75</v>
      </c>
      <c r="E39">
        <v>2</v>
      </c>
      <c r="F39" s="2">
        <v>38139</v>
      </c>
      <c r="G39">
        <f t="shared" si="1"/>
        <v>123.65</v>
      </c>
      <c r="H39">
        <f t="shared" si="3"/>
        <v>123.75</v>
      </c>
      <c r="J39">
        <f t="shared" si="6"/>
        <v>123.35874999999999</v>
      </c>
      <c r="K39">
        <f t="shared" si="5"/>
        <v>1.0023609999290688</v>
      </c>
      <c r="R39">
        <f t="shared" si="7"/>
        <v>0.99688843831592022</v>
      </c>
      <c r="S39">
        <f t="shared" si="8"/>
        <v>124.03594549545227</v>
      </c>
    </row>
    <row r="40" spans="1:19" x14ac:dyDescent="0.25">
      <c r="A40" t="s">
        <v>42</v>
      </c>
      <c r="B40">
        <v>128.13999999999999</v>
      </c>
      <c r="C40">
        <v>125.29</v>
      </c>
      <c r="E40">
        <v>3</v>
      </c>
      <c r="F40" s="2">
        <v>38231</v>
      </c>
      <c r="G40">
        <f t="shared" si="1"/>
        <v>128.13999999999999</v>
      </c>
      <c r="H40">
        <f t="shared" si="3"/>
        <v>125.29</v>
      </c>
      <c r="J40">
        <f t="shared" si="6"/>
        <v>124.90749999999998</v>
      </c>
      <c r="K40">
        <f t="shared" si="5"/>
        <v>1.0258791505714229</v>
      </c>
      <c r="R40">
        <f t="shared" si="7"/>
        <v>1.0217157645282833</v>
      </c>
      <c r="S40">
        <f t="shared" si="8"/>
        <v>125.41648514071919</v>
      </c>
    </row>
    <row r="41" spans="1:19" x14ac:dyDescent="0.25">
      <c r="A41" t="s">
        <v>43</v>
      </c>
      <c r="B41">
        <v>127.39</v>
      </c>
      <c r="C41">
        <v>126.31</v>
      </c>
      <c r="E41">
        <v>4</v>
      </c>
      <c r="F41" s="2">
        <v>38322</v>
      </c>
      <c r="G41">
        <f t="shared" si="1"/>
        <v>127.39</v>
      </c>
      <c r="H41">
        <f t="shared" si="3"/>
        <v>126.31</v>
      </c>
      <c r="J41">
        <f t="shared" si="6"/>
        <v>126.21624999999999</v>
      </c>
      <c r="K41">
        <f t="shared" si="5"/>
        <v>1.0092995157121212</v>
      </c>
      <c r="R41">
        <f t="shared" si="7"/>
        <v>1.005158592652424</v>
      </c>
      <c r="S41">
        <f t="shared" si="8"/>
        <v>126.7362194694489</v>
      </c>
    </row>
    <row r="42" spans="1:19" x14ac:dyDescent="0.25">
      <c r="A42" t="s">
        <v>44</v>
      </c>
      <c r="B42">
        <v>122.92</v>
      </c>
      <c r="C42">
        <v>127.37</v>
      </c>
      <c r="E42">
        <v>1</v>
      </c>
      <c r="F42" s="2">
        <v>38412</v>
      </c>
      <c r="G42">
        <f t="shared" si="1"/>
        <v>122.92</v>
      </c>
      <c r="H42">
        <f t="shared" si="3"/>
        <v>127.37</v>
      </c>
      <c r="J42">
        <f t="shared" si="6"/>
        <v>127.24625</v>
      </c>
      <c r="K42">
        <f t="shared" si="5"/>
        <v>0.96600096270027602</v>
      </c>
      <c r="R42">
        <f t="shared" si="7"/>
        <v>0.97766929414083636</v>
      </c>
      <c r="S42">
        <f t="shared" si="8"/>
        <v>125.72758573544091</v>
      </c>
    </row>
    <row r="43" spans="1:19" x14ac:dyDescent="0.25">
      <c r="A43" t="s">
        <v>45</v>
      </c>
      <c r="B43">
        <v>129.18</v>
      </c>
      <c r="C43">
        <v>128.77000000000001</v>
      </c>
      <c r="E43">
        <v>2</v>
      </c>
      <c r="F43" s="2">
        <v>38504</v>
      </c>
      <c r="G43">
        <f t="shared" si="1"/>
        <v>129.18</v>
      </c>
      <c r="H43">
        <f t="shared" si="3"/>
        <v>128.77000000000001</v>
      </c>
      <c r="J43">
        <f t="shared" si="6"/>
        <v>127.92749999999999</v>
      </c>
      <c r="K43">
        <f t="shared" si="5"/>
        <v>1.0097907017646715</v>
      </c>
      <c r="R43">
        <f t="shared" si="7"/>
        <v>0.99688843831592022</v>
      </c>
      <c r="S43">
        <f t="shared" si="8"/>
        <v>129.58320613912272</v>
      </c>
    </row>
    <row r="44" spans="1:19" x14ac:dyDescent="0.25">
      <c r="A44" t="s">
        <v>46</v>
      </c>
      <c r="B44">
        <v>130.85</v>
      </c>
      <c r="C44">
        <v>128.01</v>
      </c>
      <c r="E44">
        <v>3</v>
      </c>
      <c r="F44" s="2">
        <v>38596</v>
      </c>
      <c r="G44">
        <f t="shared" si="1"/>
        <v>130.85</v>
      </c>
      <c r="H44">
        <f t="shared" si="3"/>
        <v>128.01</v>
      </c>
      <c r="J44">
        <f t="shared" si="6"/>
        <v>128.92750000000001</v>
      </c>
      <c r="K44">
        <f t="shared" si="5"/>
        <v>1.0149114812588469</v>
      </c>
      <c r="R44">
        <f t="shared" si="7"/>
        <v>1.0217157645282833</v>
      </c>
      <c r="S44">
        <f t="shared" si="8"/>
        <v>128.06888622337371</v>
      </c>
    </row>
    <row r="45" spans="1:19" x14ac:dyDescent="0.25">
      <c r="A45" t="s">
        <v>47</v>
      </c>
      <c r="B45">
        <v>130.13</v>
      </c>
      <c r="C45">
        <v>129.77000000000001</v>
      </c>
      <c r="E45">
        <v>4</v>
      </c>
      <c r="F45" s="2">
        <v>38687</v>
      </c>
      <c r="G45">
        <f t="shared" si="1"/>
        <v>130.13</v>
      </c>
      <c r="H45">
        <f t="shared" si="3"/>
        <v>129.77000000000001</v>
      </c>
      <c r="J45">
        <f t="shared" si="6"/>
        <v>129.95374999999999</v>
      </c>
      <c r="K45">
        <f t="shared" si="5"/>
        <v>1.0013562517434087</v>
      </c>
      <c r="R45">
        <f t="shared" si="7"/>
        <v>1.005158592652424</v>
      </c>
      <c r="S45">
        <f t="shared" si="8"/>
        <v>129.46215746573031</v>
      </c>
    </row>
    <row r="46" spans="1:19" x14ac:dyDescent="0.25">
      <c r="A46" t="s">
        <v>48</v>
      </c>
      <c r="B46">
        <v>128.18</v>
      </c>
      <c r="C46">
        <v>131.61000000000001</v>
      </c>
      <c r="E46">
        <v>1</v>
      </c>
      <c r="F46" s="2">
        <v>38777</v>
      </c>
      <c r="G46">
        <f t="shared" si="1"/>
        <v>128.18</v>
      </c>
      <c r="H46">
        <f t="shared" si="3"/>
        <v>131.61000000000001</v>
      </c>
      <c r="J46">
        <f t="shared" si="6"/>
        <v>131.05625000000001</v>
      </c>
      <c r="K46">
        <f t="shared" si="5"/>
        <v>0.97805331680099195</v>
      </c>
      <c r="R46">
        <f t="shared" si="7"/>
        <v>0.97766929414083636</v>
      </c>
      <c r="S46">
        <f t="shared" si="8"/>
        <v>131.10772811233986</v>
      </c>
    </row>
    <row r="47" spans="1:19" x14ac:dyDescent="0.25">
      <c r="A47" t="s">
        <v>49</v>
      </c>
      <c r="B47">
        <v>132.13</v>
      </c>
      <c r="C47">
        <v>132.16999999999999</v>
      </c>
      <c r="E47">
        <v>2</v>
      </c>
      <c r="F47" s="2">
        <v>38869</v>
      </c>
      <c r="G47">
        <f t="shared" si="1"/>
        <v>132.13</v>
      </c>
      <c r="H47">
        <f t="shared" si="3"/>
        <v>132.16999999999999</v>
      </c>
      <c r="J47">
        <f t="shared" si="6"/>
        <v>132.57</v>
      </c>
      <c r="K47">
        <f t="shared" si="5"/>
        <v>0.99668099871765858</v>
      </c>
      <c r="R47">
        <f t="shared" si="7"/>
        <v>0.99688843831592022</v>
      </c>
      <c r="S47">
        <f t="shared" si="8"/>
        <v>132.54241389659609</v>
      </c>
    </row>
    <row r="48" spans="1:19" x14ac:dyDescent="0.25">
      <c r="A48" t="s">
        <v>50</v>
      </c>
      <c r="B48">
        <v>136.72</v>
      </c>
      <c r="C48">
        <v>134.38</v>
      </c>
      <c r="E48">
        <v>3</v>
      </c>
      <c r="F48" s="2">
        <v>38961</v>
      </c>
      <c r="G48">
        <f t="shared" si="1"/>
        <v>136.72</v>
      </c>
      <c r="H48">
        <f t="shared" si="3"/>
        <v>134.38</v>
      </c>
      <c r="J48">
        <f t="shared" si="6"/>
        <v>134.1825</v>
      </c>
      <c r="K48">
        <f t="shared" si="5"/>
        <v>1.0189108117675554</v>
      </c>
      <c r="R48">
        <f t="shared" si="7"/>
        <v>1.0217157645282833</v>
      </c>
      <c r="S48">
        <f t="shared" si="8"/>
        <v>133.81412399281356</v>
      </c>
    </row>
    <row r="49" spans="1:19" x14ac:dyDescent="0.25">
      <c r="A49" t="s">
        <v>51</v>
      </c>
      <c r="B49">
        <v>136.37</v>
      </c>
      <c r="C49">
        <v>136.04</v>
      </c>
      <c r="E49">
        <v>4</v>
      </c>
      <c r="F49" s="2">
        <v>39052</v>
      </c>
      <c r="G49">
        <f t="shared" si="1"/>
        <v>136.37</v>
      </c>
      <c r="H49">
        <f t="shared" si="3"/>
        <v>136.04</v>
      </c>
      <c r="J49">
        <f t="shared" si="6"/>
        <v>136.09500000000003</v>
      </c>
      <c r="K49">
        <f t="shared" si="5"/>
        <v>1.0020206473419302</v>
      </c>
      <c r="R49">
        <f t="shared" si="7"/>
        <v>1.005158592652424</v>
      </c>
      <c r="S49">
        <f t="shared" si="8"/>
        <v>135.67013304850261</v>
      </c>
    </row>
    <row r="50" spans="1:19" x14ac:dyDescent="0.25">
      <c r="A50" t="s">
        <v>52</v>
      </c>
      <c r="B50">
        <v>134.84</v>
      </c>
      <c r="C50">
        <v>138.4</v>
      </c>
      <c r="E50">
        <v>1</v>
      </c>
      <c r="F50" s="2">
        <v>39142</v>
      </c>
      <c r="G50">
        <f t="shared" si="1"/>
        <v>134.84</v>
      </c>
      <c r="H50">
        <f t="shared" si="3"/>
        <v>138.4</v>
      </c>
      <c r="J50">
        <f t="shared" si="6"/>
        <v>138.17875000000001</v>
      </c>
      <c r="K50">
        <f t="shared" si="5"/>
        <v>0.97583745691721768</v>
      </c>
      <c r="R50">
        <f t="shared" si="7"/>
        <v>0.97766929414083636</v>
      </c>
      <c r="S50">
        <f t="shared" si="8"/>
        <v>137.91984754772903</v>
      </c>
    </row>
    <row r="51" spans="1:19" x14ac:dyDescent="0.25">
      <c r="A51" t="s">
        <v>53</v>
      </c>
      <c r="B51">
        <v>140.77000000000001</v>
      </c>
      <c r="C51">
        <v>140.83000000000001</v>
      </c>
      <c r="E51">
        <v>2</v>
      </c>
      <c r="F51" s="2">
        <v>39234</v>
      </c>
      <c r="G51">
        <f t="shared" si="1"/>
        <v>140.77000000000001</v>
      </c>
      <c r="H51">
        <f t="shared" si="3"/>
        <v>140.83000000000001</v>
      </c>
      <c r="J51">
        <f t="shared" si="6"/>
        <v>140.315</v>
      </c>
      <c r="K51">
        <f t="shared" si="5"/>
        <v>1.0032427039161886</v>
      </c>
      <c r="R51">
        <f t="shared" si="7"/>
        <v>0.99688843831592022</v>
      </c>
      <c r="S51">
        <f t="shared" si="8"/>
        <v>141.20938170153511</v>
      </c>
    </row>
    <row r="52" spans="1:19" x14ac:dyDescent="0.25">
      <c r="A52" t="s">
        <v>54</v>
      </c>
      <c r="B52">
        <v>144.75</v>
      </c>
      <c r="C52">
        <v>142.28</v>
      </c>
      <c r="E52">
        <v>3</v>
      </c>
      <c r="F52" s="2">
        <v>39326</v>
      </c>
      <c r="G52">
        <f t="shared" si="1"/>
        <v>144.75</v>
      </c>
      <c r="H52">
        <f t="shared" si="3"/>
        <v>142.28</v>
      </c>
      <c r="J52">
        <f t="shared" si="6"/>
        <v>142.48500000000001</v>
      </c>
      <c r="K52">
        <f t="shared" si="5"/>
        <v>1.0158964101484367</v>
      </c>
      <c r="R52">
        <f t="shared" si="7"/>
        <v>1.0217157645282833</v>
      </c>
      <c r="S52">
        <f t="shared" si="8"/>
        <v>141.67345266208136</v>
      </c>
    </row>
    <row r="53" spans="1:19" x14ac:dyDescent="0.25">
      <c r="A53" t="s">
        <v>55</v>
      </c>
      <c r="B53">
        <v>145.43</v>
      </c>
      <c r="C53">
        <v>144.36000000000001</v>
      </c>
      <c r="E53">
        <v>4</v>
      </c>
      <c r="F53" s="2">
        <v>39417</v>
      </c>
      <c r="G53">
        <f t="shared" si="1"/>
        <v>145.43</v>
      </c>
      <c r="H53">
        <f t="shared" si="3"/>
        <v>144.36000000000001</v>
      </c>
      <c r="J53">
        <f t="shared" si="6"/>
        <v>144.63749999999999</v>
      </c>
      <c r="K53">
        <f t="shared" si="5"/>
        <v>1.0054792152795784</v>
      </c>
      <c r="R53">
        <f t="shared" si="7"/>
        <v>1.005158592652424</v>
      </c>
      <c r="S53">
        <f t="shared" si="8"/>
        <v>144.68363605810467</v>
      </c>
    </row>
    <row r="54" spans="1:19" x14ac:dyDescent="0.25">
      <c r="A54" t="s">
        <v>56</v>
      </c>
      <c r="B54">
        <v>143.13999999999999</v>
      </c>
      <c r="C54">
        <v>146.28</v>
      </c>
      <c r="E54">
        <v>1</v>
      </c>
      <c r="F54" s="2">
        <v>39508</v>
      </c>
      <c r="G54">
        <f t="shared" si="1"/>
        <v>143.13999999999999</v>
      </c>
      <c r="H54">
        <f t="shared" si="3"/>
        <v>146.28</v>
      </c>
      <c r="J54">
        <f t="shared" si="6"/>
        <v>147.01625000000001</v>
      </c>
      <c r="K54">
        <f t="shared" si="5"/>
        <v>0.97363386700449761</v>
      </c>
      <c r="R54">
        <f t="shared" si="7"/>
        <v>0.97766929414083636</v>
      </c>
      <c r="S54">
        <f t="shared" si="8"/>
        <v>146.40942582306386</v>
      </c>
    </row>
    <row r="55" spans="1:19" x14ac:dyDescent="0.25">
      <c r="A55" t="s">
        <v>57</v>
      </c>
      <c r="B55">
        <v>149.69</v>
      </c>
      <c r="C55">
        <v>149.28</v>
      </c>
      <c r="E55">
        <v>2</v>
      </c>
      <c r="F55" s="2">
        <v>39600</v>
      </c>
      <c r="G55">
        <f t="shared" si="1"/>
        <v>149.69</v>
      </c>
      <c r="H55">
        <f t="shared" si="3"/>
        <v>149.28</v>
      </c>
      <c r="J55">
        <f t="shared" si="6"/>
        <v>148.46625</v>
      </c>
      <c r="K55">
        <f t="shared" si="5"/>
        <v>1.0082426140621186</v>
      </c>
      <c r="R55">
        <f t="shared" si="7"/>
        <v>0.99688843831592022</v>
      </c>
      <c r="S55">
        <f t="shared" si="8"/>
        <v>150.15722346311563</v>
      </c>
    </row>
    <row r="56" spans="1:19" x14ac:dyDescent="0.25">
      <c r="A56" t="s">
        <v>58</v>
      </c>
      <c r="B56">
        <v>154.86000000000001</v>
      </c>
      <c r="C56">
        <v>151.52000000000001</v>
      </c>
      <c r="E56">
        <v>3</v>
      </c>
      <c r="F56" s="2">
        <v>39692</v>
      </c>
      <c r="G56">
        <f t="shared" si="1"/>
        <v>154.86000000000001</v>
      </c>
      <c r="H56">
        <f t="shared" si="3"/>
        <v>151.52000000000001</v>
      </c>
      <c r="J56">
        <f t="shared" si="6"/>
        <v>148.21875</v>
      </c>
      <c r="K56">
        <f t="shared" si="5"/>
        <v>1.0448070841239723</v>
      </c>
      <c r="R56">
        <f t="shared" si="7"/>
        <v>1.0217157645282833</v>
      </c>
      <c r="S56">
        <f t="shared" si="8"/>
        <v>151.56857256822053</v>
      </c>
    </row>
    <row r="57" spans="1:19" x14ac:dyDescent="0.25">
      <c r="A57" t="s">
        <v>59</v>
      </c>
      <c r="B57">
        <v>146.91999999999999</v>
      </c>
      <c r="C57">
        <v>145.87</v>
      </c>
      <c r="E57">
        <v>4</v>
      </c>
      <c r="F57" s="2">
        <v>39783</v>
      </c>
      <c r="G57">
        <f t="shared" si="1"/>
        <v>146.91999999999999</v>
      </c>
      <c r="H57">
        <f t="shared" si="3"/>
        <v>145.87</v>
      </c>
      <c r="J57">
        <f t="shared" si="6"/>
        <v>147.3725</v>
      </c>
      <c r="K57">
        <f t="shared" si="5"/>
        <v>0.99692954927140398</v>
      </c>
      <c r="R57">
        <f t="shared" si="7"/>
        <v>1.005158592652424</v>
      </c>
      <c r="S57">
        <f t="shared" si="8"/>
        <v>146.16598920206792</v>
      </c>
    </row>
    <row r="58" spans="1:19" x14ac:dyDescent="0.25">
      <c r="A58" t="s">
        <v>60</v>
      </c>
      <c r="B58">
        <v>139.66999999999999</v>
      </c>
      <c r="C58">
        <v>143.91999999999999</v>
      </c>
      <c r="E58">
        <v>1</v>
      </c>
      <c r="F58" s="2">
        <v>39873</v>
      </c>
      <c r="G58">
        <f t="shared" si="1"/>
        <v>139.66999999999999</v>
      </c>
      <c r="H58">
        <f t="shared" si="3"/>
        <v>143.91999999999999</v>
      </c>
      <c r="J58">
        <f t="shared" si="6"/>
        <v>146.73499999999996</v>
      </c>
      <c r="K58">
        <f t="shared" si="5"/>
        <v>0.95185197805567878</v>
      </c>
      <c r="R58">
        <f t="shared" si="7"/>
        <v>0.97766929414083636</v>
      </c>
      <c r="S58">
        <f t="shared" si="8"/>
        <v>142.86016839952026</v>
      </c>
    </row>
    <row r="59" spans="1:19" x14ac:dyDescent="0.25">
      <c r="A59" t="s">
        <v>61</v>
      </c>
      <c r="B59">
        <v>146.38999999999999</v>
      </c>
      <c r="C59">
        <v>146.46</v>
      </c>
      <c r="E59">
        <v>2</v>
      </c>
      <c r="F59" s="2">
        <v>39965</v>
      </c>
      <c r="G59">
        <f t="shared" si="1"/>
        <v>146.38999999999999</v>
      </c>
      <c r="H59">
        <f t="shared" si="3"/>
        <v>146.46</v>
      </c>
      <c r="J59">
        <f t="shared" si="6"/>
        <v>147.48875000000001</v>
      </c>
      <c r="K59">
        <f t="shared" si="5"/>
        <v>0.99255027925858741</v>
      </c>
      <c r="R59">
        <f t="shared" si="7"/>
        <v>0.99688843831592022</v>
      </c>
      <c r="S59">
        <f t="shared" si="8"/>
        <v>146.84692325984031</v>
      </c>
    </row>
    <row r="60" spans="1:19" x14ac:dyDescent="0.25">
      <c r="A60" t="s">
        <v>62</v>
      </c>
      <c r="B60">
        <v>153.06</v>
      </c>
      <c r="C60">
        <v>149.91</v>
      </c>
      <c r="E60">
        <v>3</v>
      </c>
      <c r="F60" s="2">
        <v>40057</v>
      </c>
      <c r="G60">
        <f t="shared" si="1"/>
        <v>153.06</v>
      </c>
      <c r="H60">
        <f t="shared" si="3"/>
        <v>149.91</v>
      </c>
      <c r="J60">
        <f t="shared" si="6"/>
        <v>150.07500000000002</v>
      </c>
      <c r="K60">
        <f t="shared" si="5"/>
        <v>1.0198900549725136</v>
      </c>
      <c r="R60">
        <f t="shared" si="7"/>
        <v>1.0217157645282833</v>
      </c>
      <c r="S60">
        <f t="shared" si="8"/>
        <v>149.80683015169723</v>
      </c>
    </row>
    <row r="61" spans="1:19" x14ac:dyDescent="0.25">
      <c r="A61" t="s">
        <v>63</v>
      </c>
      <c r="B61">
        <v>154.75</v>
      </c>
      <c r="C61">
        <v>153.66999999999999</v>
      </c>
      <c r="E61">
        <v>4</v>
      </c>
      <c r="F61" s="2">
        <v>40148</v>
      </c>
      <c r="G61">
        <f t="shared" si="1"/>
        <v>154.75</v>
      </c>
      <c r="H61">
        <f t="shared" si="3"/>
        <v>153.66999999999999</v>
      </c>
      <c r="J61">
        <f t="shared" si="6"/>
        <v>153.24124999999998</v>
      </c>
      <c r="K61">
        <f t="shared" si="5"/>
        <v>1.0098455866158755</v>
      </c>
      <c r="R61">
        <f t="shared" si="7"/>
        <v>1.005158592652424</v>
      </c>
      <c r="S61">
        <f t="shared" si="8"/>
        <v>153.95580471698892</v>
      </c>
    </row>
    <row r="62" spans="1:19" x14ac:dyDescent="0.25">
      <c r="A62" t="s">
        <v>64</v>
      </c>
      <c r="B62">
        <v>152.53</v>
      </c>
      <c r="C62">
        <v>156.97999999999999</v>
      </c>
      <c r="E62">
        <v>1</v>
      </c>
      <c r="F62" s="2">
        <v>40238</v>
      </c>
      <c r="G62">
        <f t="shared" si="1"/>
        <v>152.53</v>
      </c>
      <c r="H62">
        <f t="shared" si="3"/>
        <v>156.97999999999999</v>
      </c>
      <c r="J62">
        <f t="shared" si="6"/>
        <v>156.12124999999997</v>
      </c>
      <c r="K62">
        <f t="shared" si="5"/>
        <v>0.97699704556554612</v>
      </c>
      <c r="R62">
        <f t="shared" si="7"/>
        <v>0.97766929414083636</v>
      </c>
      <c r="S62">
        <f t="shared" si="8"/>
        <v>156.01390052250898</v>
      </c>
    </row>
    <row r="63" spans="1:19" x14ac:dyDescent="0.25">
      <c r="A63" t="s">
        <v>65</v>
      </c>
      <c r="B63">
        <v>158.86000000000001</v>
      </c>
      <c r="C63">
        <v>158.94</v>
      </c>
      <c r="E63">
        <v>2</v>
      </c>
      <c r="F63" s="2">
        <v>40330</v>
      </c>
      <c r="G63">
        <f t="shared" si="1"/>
        <v>158.86000000000001</v>
      </c>
      <c r="H63">
        <f t="shared" si="3"/>
        <v>158.94</v>
      </c>
      <c r="J63">
        <f t="shared" si="6"/>
        <v>158.54249999999999</v>
      </c>
      <c r="K63">
        <f t="shared" si="5"/>
        <v>1.0020026175946515</v>
      </c>
      <c r="R63">
        <f t="shared" si="7"/>
        <v>0.99688843831592022</v>
      </c>
      <c r="S63">
        <f t="shared" si="8"/>
        <v>159.35584554312615</v>
      </c>
    </row>
    <row r="64" spans="1:19" x14ac:dyDescent="0.25">
      <c r="A64" t="s">
        <v>66</v>
      </c>
      <c r="B64">
        <v>163.63</v>
      </c>
      <c r="C64">
        <v>160.35</v>
      </c>
      <c r="E64">
        <v>3</v>
      </c>
      <c r="F64" s="2">
        <v>40422</v>
      </c>
      <c r="G64">
        <f t="shared" si="1"/>
        <v>163.63</v>
      </c>
      <c r="H64">
        <f t="shared" si="3"/>
        <v>160.35</v>
      </c>
      <c r="J64">
        <f t="shared" si="6"/>
        <v>160.63249999999999</v>
      </c>
      <c r="K64">
        <f t="shared" si="5"/>
        <v>1.0186606072868194</v>
      </c>
      <c r="R64">
        <f t="shared" si="7"/>
        <v>1.0217157645282833</v>
      </c>
      <c r="S64">
        <f t="shared" si="8"/>
        <v>160.15217311983676</v>
      </c>
    </row>
    <row r="65" spans="1:19" x14ac:dyDescent="0.25">
      <c r="A65" t="s">
        <v>67</v>
      </c>
      <c r="B65">
        <v>163.55000000000001</v>
      </c>
      <c r="C65">
        <v>162.55000000000001</v>
      </c>
      <c r="E65">
        <v>4</v>
      </c>
      <c r="F65" s="2">
        <v>40513</v>
      </c>
      <c r="G65">
        <f t="shared" si="1"/>
        <v>163.55000000000001</v>
      </c>
      <c r="H65">
        <f t="shared" si="3"/>
        <v>162.55000000000001</v>
      </c>
      <c r="J65">
        <f t="shared" si="6"/>
        <v>162.55624999999998</v>
      </c>
      <c r="K65">
        <f t="shared" si="5"/>
        <v>1.0061132684839866</v>
      </c>
      <c r="R65">
        <f t="shared" si="7"/>
        <v>1.005158592652424</v>
      </c>
      <c r="S65">
        <f t="shared" si="8"/>
        <v>162.71064207730882</v>
      </c>
    </row>
    <row r="66" spans="1:19" x14ac:dyDescent="0.25">
      <c r="A66" t="s">
        <v>68</v>
      </c>
      <c r="B66">
        <v>160.44999999999999</v>
      </c>
      <c r="C66">
        <v>164.92</v>
      </c>
      <c r="E66">
        <v>1</v>
      </c>
      <c r="F66" s="2">
        <v>40603</v>
      </c>
      <c r="G66">
        <f t="shared" si="1"/>
        <v>160.44999999999999</v>
      </c>
      <c r="H66">
        <f t="shared" si="3"/>
        <v>164.92</v>
      </c>
      <c r="J66">
        <f t="shared" si="6"/>
        <v>164.21249999999998</v>
      </c>
      <c r="K66">
        <f t="shared" si="5"/>
        <v>0.97708761513283104</v>
      </c>
      <c r="R66">
        <f t="shared" ref="R66:R97" si="9">VLOOKUP(E66,$M$8:$P$11,4,0)</f>
        <v>0.97766929414083636</v>
      </c>
      <c r="S66">
        <f t="shared" si="8"/>
        <v>164.11479931053933</v>
      </c>
    </row>
    <row r="67" spans="1:19" x14ac:dyDescent="0.25">
      <c r="A67" t="s">
        <v>69</v>
      </c>
      <c r="B67">
        <v>166.33</v>
      </c>
      <c r="C67">
        <v>166.39</v>
      </c>
      <c r="E67">
        <v>2</v>
      </c>
      <c r="F67" s="2">
        <v>40695</v>
      </c>
      <c r="G67">
        <f t="shared" ref="G67:G121" si="10">B67</f>
        <v>166.33</v>
      </c>
      <c r="H67">
        <f t="shared" ref="H67:H121" si="11">C67</f>
        <v>166.39</v>
      </c>
      <c r="J67">
        <f t="shared" si="6"/>
        <v>165.46</v>
      </c>
      <c r="K67">
        <f t="shared" si="5"/>
        <v>1.0052580684153269</v>
      </c>
      <c r="R67">
        <f t="shared" si="9"/>
        <v>0.99688843831592022</v>
      </c>
      <c r="S67">
        <f t="shared" ref="S67:S121" si="12">G67/R67</f>
        <v>166.84916145781298</v>
      </c>
    </row>
    <row r="68" spans="1:19" x14ac:dyDescent="0.25">
      <c r="A68" t="s">
        <v>70</v>
      </c>
      <c r="B68">
        <v>169.41</v>
      </c>
      <c r="C68">
        <v>166.11</v>
      </c>
      <c r="E68">
        <v>3</v>
      </c>
      <c r="F68" s="2">
        <v>40787</v>
      </c>
      <c r="G68">
        <f t="shared" si="10"/>
        <v>169.41</v>
      </c>
      <c r="H68">
        <f t="shared" si="11"/>
        <v>166.11</v>
      </c>
      <c r="J68">
        <f t="shared" si="6"/>
        <v>166.32750000000001</v>
      </c>
      <c r="K68">
        <f t="shared" si="5"/>
        <v>1.0185327140731388</v>
      </c>
      <c r="R68">
        <f t="shared" si="9"/>
        <v>1.0217157645282833</v>
      </c>
      <c r="S68">
        <f t="shared" si="12"/>
        <v>165.80932376845044</v>
      </c>
    </row>
    <row r="69" spans="1:19" x14ac:dyDescent="0.25">
      <c r="A69" t="s">
        <v>71</v>
      </c>
      <c r="B69">
        <v>167.75</v>
      </c>
      <c r="C69">
        <v>167.66</v>
      </c>
      <c r="E69">
        <v>4</v>
      </c>
      <c r="F69" s="2">
        <v>40878</v>
      </c>
      <c r="G69">
        <f t="shared" si="10"/>
        <v>167.75</v>
      </c>
      <c r="H69">
        <f t="shared" si="11"/>
        <v>167.66</v>
      </c>
      <c r="J69">
        <f t="shared" si="6"/>
        <v>166.875</v>
      </c>
      <c r="K69">
        <f t="shared" si="5"/>
        <v>1.0052434456928838</v>
      </c>
      <c r="R69">
        <f t="shared" si="9"/>
        <v>1.005158592652424</v>
      </c>
      <c r="S69">
        <f t="shared" si="12"/>
        <v>166.88908718109784</v>
      </c>
    </row>
    <row r="70" spans="1:19" x14ac:dyDescent="0.25">
      <c r="A70" t="s">
        <v>72</v>
      </c>
      <c r="B70">
        <v>163.19</v>
      </c>
      <c r="C70">
        <v>165.34</v>
      </c>
      <c r="E70">
        <v>1</v>
      </c>
      <c r="F70" s="2">
        <v>40969</v>
      </c>
      <c r="G70">
        <f t="shared" si="10"/>
        <v>163.19</v>
      </c>
      <c r="H70">
        <f t="shared" si="11"/>
        <v>165.34</v>
      </c>
      <c r="J70">
        <f t="shared" si="6"/>
        <v>167.60749999999999</v>
      </c>
      <c r="K70">
        <f t="shared" si="5"/>
        <v>0.97364378085706194</v>
      </c>
      <c r="R70">
        <f t="shared" si="9"/>
        <v>0.97766929414083636</v>
      </c>
      <c r="S70">
        <f t="shared" si="12"/>
        <v>166.91738298215589</v>
      </c>
    </row>
    <row r="71" spans="1:19" x14ac:dyDescent="0.25">
      <c r="A71" t="s">
        <v>73</v>
      </c>
      <c r="B71">
        <v>167.97</v>
      </c>
      <c r="C71">
        <v>168.17</v>
      </c>
      <c r="E71">
        <v>2</v>
      </c>
      <c r="F71" s="2">
        <v>41061</v>
      </c>
      <c r="G71">
        <f t="shared" si="10"/>
        <v>167.97</v>
      </c>
      <c r="H71">
        <f t="shared" si="11"/>
        <v>168.17</v>
      </c>
      <c r="J71">
        <f t="shared" si="6"/>
        <v>168.655</v>
      </c>
      <c r="K71">
        <f t="shared" si="5"/>
        <v>0.99593845424090599</v>
      </c>
      <c r="R71">
        <f t="shared" si="9"/>
        <v>0.99688843831592022</v>
      </c>
      <c r="S71">
        <f t="shared" si="12"/>
        <v>168.49428034671342</v>
      </c>
    </row>
    <row r="72" spans="1:19" x14ac:dyDescent="0.25">
      <c r="A72" t="s">
        <v>74</v>
      </c>
      <c r="B72">
        <v>173.63</v>
      </c>
      <c r="C72">
        <v>171.09</v>
      </c>
      <c r="E72">
        <v>3</v>
      </c>
      <c r="F72" s="2">
        <v>41153</v>
      </c>
      <c r="G72">
        <f t="shared" si="10"/>
        <v>173.63</v>
      </c>
      <c r="H72">
        <f t="shared" si="11"/>
        <v>171.09</v>
      </c>
      <c r="J72">
        <f t="shared" si="6"/>
        <v>169.73000000000002</v>
      </c>
      <c r="K72">
        <f t="shared" ref="K72:K119" si="13">G72/J72</f>
        <v>1.022977670417722</v>
      </c>
      <c r="R72">
        <f t="shared" si="9"/>
        <v>1.0217157645282833</v>
      </c>
      <c r="S72">
        <f t="shared" si="12"/>
        <v>169.9396309894106</v>
      </c>
    </row>
    <row r="73" spans="1:19" x14ac:dyDescent="0.25">
      <c r="A73" t="s">
        <v>75</v>
      </c>
      <c r="B73">
        <v>171.91</v>
      </c>
      <c r="C73">
        <v>171.21</v>
      </c>
      <c r="E73">
        <v>4</v>
      </c>
      <c r="F73" s="2">
        <v>41244</v>
      </c>
      <c r="G73">
        <f t="shared" si="10"/>
        <v>171.91</v>
      </c>
      <c r="H73">
        <f t="shared" si="11"/>
        <v>171.21</v>
      </c>
      <c r="J73">
        <f t="shared" si="6"/>
        <v>171.13</v>
      </c>
      <c r="K73">
        <f t="shared" si="13"/>
        <v>1.0045579384093963</v>
      </c>
      <c r="R73">
        <f t="shared" si="9"/>
        <v>1.005158592652424</v>
      </c>
      <c r="S73">
        <f t="shared" si="12"/>
        <v>171.0277375696127</v>
      </c>
    </row>
    <row r="74" spans="1:19" x14ac:dyDescent="0.25">
      <c r="A74" t="s">
        <v>76</v>
      </c>
      <c r="B74">
        <v>167.63</v>
      </c>
      <c r="C74">
        <v>172.04</v>
      </c>
      <c r="E74">
        <v>1</v>
      </c>
      <c r="F74" s="2">
        <v>41334</v>
      </c>
      <c r="G74">
        <f t="shared" si="10"/>
        <v>167.63</v>
      </c>
      <c r="H74">
        <f t="shared" si="11"/>
        <v>172.04</v>
      </c>
      <c r="J74">
        <f t="shared" si="6"/>
        <v>172.57375000000002</v>
      </c>
      <c r="K74">
        <f t="shared" si="13"/>
        <v>0.97135282741436624</v>
      </c>
      <c r="R74">
        <f t="shared" si="9"/>
        <v>0.97766929414083636</v>
      </c>
      <c r="S74">
        <f t="shared" si="12"/>
        <v>171.45879593908199</v>
      </c>
    </row>
    <row r="75" spans="1:19" x14ac:dyDescent="0.25">
      <c r="A75" t="s">
        <v>77</v>
      </c>
      <c r="B75">
        <v>174.73</v>
      </c>
      <c r="C75">
        <v>174.52</v>
      </c>
      <c r="E75">
        <v>2</v>
      </c>
      <c r="F75" s="2">
        <v>41426</v>
      </c>
      <c r="G75">
        <f t="shared" si="10"/>
        <v>174.73</v>
      </c>
      <c r="H75">
        <f t="shared" si="11"/>
        <v>174.52</v>
      </c>
      <c r="J75">
        <f t="shared" si="6"/>
        <v>173.71625</v>
      </c>
      <c r="K75">
        <f t="shared" si="13"/>
        <v>1.0058356659207184</v>
      </c>
      <c r="R75">
        <f t="shared" si="9"/>
        <v>0.99688843831592022</v>
      </c>
      <c r="S75">
        <f t="shared" si="12"/>
        <v>175.2753801570592</v>
      </c>
    </row>
    <row r="76" spans="1:19" x14ac:dyDescent="0.25">
      <c r="A76" t="s">
        <v>78</v>
      </c>
      <c r="B76">
        <v>178.42</v>
      </c>
      <c r="C76">
        <v>175.25</v>
      </c>
      <c r="E76">
        <v>3</v>
      </c>
      <c r="F76" s="2">
        <v>41518</v>
      </c>
      <c r="G76">
        <f t="shared" si="10"/>
        <v>178.42</v>
      </c>
      <c r="H76">
        <f t="shared" si="11"/>
        <v>175.25</v>
      </c>
      <c r="J76">
        <f t="shared" si="6"/>
        <v>174.98750000000001</v>
      </c>
      <c r="K76">
        <f t="shared" si="13"/>
        <v>1.0196156868347739</v>
      </c>
      <c r="R76">
        <f t="shared" si="9"/>
        <v>1.0217157645282833</v>
      </c>
      <c r="S76">
        <f t="shared" si="12"/>
        <v>174.62782330893646</v>
      </c>
    </row>
    <row r="77" spans="1:19" x14ac:dyDescent="0.25">
      <c r="A77" t="s">
        <v>79</v>
      </c>
      <c r="B77">
        <v>176.26</v>
      </c>
      <c r="C77">
        <v>175.57</v>
      </c>
      <c r="E77">
        <v>4</v>
      </c>
      <c r="F77" s="2">
        <v>41609</v>
      </c>
      <c r="G77">
        <f t="shared" si="10"/>
        <v>176.26</v>
      </c>
      <c r="H77">
        <f t="shared" si="11"/>
        <v>175.57</v>
      </c>
      <c r="J77">
        <f t="shared" si="6"/>
        <v>175.62</v>
      </c>
      <c r="K77">
        <f t="shared" si="13"/>
        <v>1.0036442318642522</v>
      </c>
      <c r="R77">
        <f t="shared" si="9"/>
        <v>1.005158592652424</v>
      </c>
      <c r="S77">
        <f t="shared" si="12"/>
        <v>175.3554128556799</v>
      </c>
    </row>
    <row r="78" spans="1:19" x14ac:dyDescent="0.25">
      <c r="A78" t="s">
        <v>80</v>
      </c>
      <c r="B78">
        <v>173.45</v>
      </c>
      <c r="C78">
        <v>176.88</v>
      </c>
      <c r="E78">
        <v>1</v>
      </c>
      <c r="F78" s="2">
        <v>41699</v>
      </c>
      <c r="G78">
        <f t="shared" si="10"/>
        <v>173.45</v>
      </c>
      <c r="H78">
        <f t="shared" si="11"/>
        <v>176.88</v>
      </c>
      <c r="J78">
        <f t="shared" si="6"/>
        <v>175.38249999999999</v>
      </c>
      <c r="K78">
        <f t="shared" si="13"/>
        <v>0.98898122674725242</v>
      </c>
      <c r="R78">
        <f t="shared" si="9"/>
        <v>0.97766929414083636</v>
      </c>
      <c r="S78">
        <f t="shared" si="12"/>
        <v>177.41172913937703</v>
      </c>
    </row>
    <row r="79" spans="1:19" x14ac:dyDescent="0.25">
      <c r="A79" t="s">
        <v>81</v>
      </c>
      <c r="B79">
        <v>173.97</v>
      </c>
      <c r="C79">
        <v>174.56</v>
      </c>
      <c r="E79">
        <v>2</v>
      </c>
      <c r="F79" s="2">
        <v>41791</v>
      </c>
      <c r="G79">
        <f t="shared" si="10"/>
        <v>173.97</v>
      </c>
      <c r="H79">
        <f t="shared" si="11"/>
        <v>174.56</v>
      </c>
      <c r="J79">
        <f t="shared" ref="J79:J119" si="14">(G79+G80+G78+0.5*G81+0.5*G77)/4</f>
        <v>175.19000000000003</v>
      </c>
      <c r="K79">
        <f t="shared" si="13"/>
        <v>0.99303613219932629</v>
      </c>
      <c r="R79">
        <f t="shared" si="9"/>
        <v>0.99688843831592022</v>
      </c>
      <c r="S79">
        <f t="shared" si="12"/>
        <v>174.51300798903219</v>
      </c>
    </row>
    <row r="80" spans="1:19" x14ac:dyDescent="0.25">
      <c r="A80" t="s">
        <v>82</v>
      </c>
      <c r="B80">
        <v>177.28</v>
      </c>
      <c r="C80">
        <v>174.39</v>
      </c>
      <c r="E80">
        <v>3</v>
      </c>
      <c r="F80" s="2">
        <v>41883</v>
      </c>
      <c r="G80">
        <f t="shared" si="10"/>
        <v>177.28</v>
      </c>
      <c r="H80">
        <f t="shared" si="11"/>
        <v>174.39</v>
      </c>
      <c r="J80">
        <f t="shared" si="14"/>
        <v>174.78875000000002</v>
      </c>
      <c r="K80">
        <f t="shared" si="13"/>
        <v>1.0142529195957977</v>
      </c>
      <c r="R80">
        <f t="shared" si="9"/>
        <v>1.0217157645282833</v>
      </c>
      <c r="S80">
        <f t="shared" si="12"/>
        <v>173.51205311180507</v>
      </c>
    </row>
    <row r="81" spans="1:19" x14ac:dyDescent="0.25">
      <c r="A81" t="s">
        <v>83</v>
      </c>
      <c r="B81">
        <v>175.86</v>
      </c>
      <c r="C81">
        <v>175.15</v>
      </c>
      <c r="E81">
        <v>4</v>
      </c>
      <c r="F81" s="2">
        <v>41974</v>
      </c>
      <c r="G81">
        <f t="shared" si="10"/>
        <v>175.86</v>
      </c>
      <c r="H81">
        <f t="shared" si="11"/>
        <v>175.15</v>
      </c>
      <c r="J81">
        <f t="shared" si="14"/>
        <v>173.84125</v>
      </c>
      <c r="K81">
        <f t="shared" si="13"/>
        <v>1.0116126063290503</v>
      </c>
      <c r="R81">
        <f t="shared" si="9"/>
        <v>1.005158592652424</v>
      </c>
      <c r="S81">
        <f t="shared" si="12"/>
        <v>174.95746570293812</v>
      </c>
    </row>
    <row r="82" spans="1:19" x14ac:dyDescent="0.25">
      <c r="A82" t="s">
        <v>84</v>
      </c>
      <c r="B82">
        <v>170.64</v>
      </c>
      <c r="C82">
        <v>173.73</v>
      </c>
      <c r="E82">
        <v>1</v>
      </c>
      <c r="F82" s="2">
        <v>42064</v>
      </c>
      <c r="G82">
        <f t="shared" si="10"/>
        <v>170.64</v>
      </c>
      <c r="H82">
        <f t="shared" si="11"/>
        <v>173.73</v>
      </c>
      <c r="J82">
        <f t="shared" si="14"/>
        <v>172.3</v>
      </c>
      <c r="K82">
        <f t="shared" si="13"/>
        <v>0.9903656413232732</v>
      </c>
      <c r="R82">
        <f t="shared" si="9"/>
        <v>0.97766929414083636</v>
      </c>
      <c r="S82">
        <f t="shared" si="12"/>
        <v>174.53754661483595</v>
      </c>
    </row>
    <row r="83" spans="1:19" x14ac:dyDescent="0.25">
      <c r="A83" t="s">
        <v>85</v>
      </c>
      <c r="B83">
        <v>169.2</v>
      </c>
      <c r="C83">
        <v>169.78</v>
      </c>
      <c r="E83">
        <v>2</v>
      </c>
      <c r="F83" s="2">
        <v>42156</v>
      </c>
      <c r="G83">
        <f t="shared" si="10"/>
        <v>169.2</v>
      </c>
      <c r="H83">
        <f t="shared" si="11"/>
        <v>169.78</v>
      </c>
      <c r="J83">
        <f t="shared" si="14"/>
        <v>170.14125000000001</v>
      </c>
      <c r="K83">
        <f t="shared" si="13"/>
        <v>0.99446783187498611</v>
      </c>
      <c r="R83">
        <f t="shared" si="9"/>
        <v>0.99688843831592022</v>
      </c>
      <c r="S83">
        <f t="shared" si="12"/>
        <v>169.72811951338878</v>
      </c>
    </row>
    <row r="84" spans="1:19" x14ac:dyDescent="0.25">
      <c r="A84" t="s">
        <v>86</v>
      </c>
      <c r="B84">
        <v>169.72</v>
      </c>
      <c r="C84">
        <v>167.13</v>
      </c>
      <c r="E84">
        <v>3</v>
      </c>
      <c r="F84" s="2">
        <v>42248</v>
      </c>
      <c r="G84">
        <f t="shared" si="10"/>
        <v>169.72</v>
      </c>
      <c r="H84">
        <f t="shared" si="11"/>
        <v>167.13</v>
      </c>
      <c r="J84">
        <f t="shared" si="14"/>
        <v>167.83125000000001</v>
      </c>
      <c r="K84">
        <f t="shared" si="13"/>
        <v>1.0112538636279</v>
      </c>
      <c r="R84">
        <f t="shared" si="9"/>
        <v>1.0217157645282833</v>
      </c>
      <c r="S84">
        <f t="shared" si="12"/>
        <v>166.11273496240725</v>
      </c>
    </row>
    <row r="85" spans="1:19" x14ac:dyDescent="0.25">
      <c r="A85" t="s">
        <v>87</v>
      </c>
      <c r="B85">
        <v>166.15</v>
      </c>
      <c r="C85">
        <v>165.51</v>
      </c>
      <c r="E85">
        <v>4</v>
      </c>
      <c r="F85" s="2">
        <v>42339</v>
      </c>
      <c r="G85">
        <f t="shared" si="10"/>
        <v>166.15</v>
      </c>
      <c r="H85">
        <f t="shared" si="11"/>
        <v>165.51</v>
      </c>
      <c r="J85">
        <f t="shared" si="14"/>
        <v>166.05375000000001</v>
      </c>
      <c r="K85">
        <f t="shared" si="13"/>
        <v>1.0005796315951914</v>
      </c>
      <c r="R85">
        <f t="shared" si="9"/>
        <v>1.005158592652424</v>
      </c>
      <c r="S85">
        <f t="shared" si="12"/>
        <v>165.29729857013058</v>
      </c>
    </row>
    <row r="86" spans="1:19" x14ac:dyDescent="0.25">
      <c r="A86" t="s">
        <v>88</v>
      </c>
      <c r="B86">
        <v>161.87</v>
      </c>
      <c r="C86">
        <v>163.25</v>
      </c>
      <c r="E86">
        <v>1</v>
      </c>
      <c r="F86" s="2">
        <v>42430</v>
      </c>
      <c r="G86">
        <f t="shared" si="10"/>
        <v>161.87</v>
      </c>
      <c r="H86">
        <f t="shared" si="11"/>
        <v>163.25</v>
      </c>
      <c r="J86">
        <f t="shared" si="14"/>
        <v>164.85124999999999</v>
      </c>
      <c r="K86">
        <f t="shared" si="13"/>
        <v>0.9819155147443529</v>
      </c>
      <c r="R86">
        <f t="shared" si="9"/>
        <v>0.97766929414083636</v>
      </c>
      <c r="S86">
        <f t="shared" si="12"/>
        <v>165.56723318415084</v>
      </c>
    </row>
    <row r="87" spans="1:19" x14ac:dyDescent="0.25">
      <c r="A87" t="s">
        <v>89</v>
      </c>
      <c r="B87">
        <v>163.75</v>
      </c>
      <c r="C87">
        <v>163.74</v>
      </c>
      <c r="E87">
        <v>2</v>
      </c>
      <c r="F87" s="2">
        <v>42522</v>
      </c>
      <c r="G87">
        <f t="shared" si="10"/>
        <v>163.75</v>
      </c>
      <c r="H87">
        <f t="shared" si="11"/>
        <v>163.74</v>
      </c>
      <c r="J87">
        <f t="shared" si="14"/>
        <v>163.86</v>
      </c>
      <c r="K87">
        <f t="shared" si="13"/>
        <v>0.99932869522763323</v>
      </c>
      <c r="R87">
        <f t="shared" si="9"/>
        <v>0.99688843831592022</v>
      </c>
      <c r="S87">
        <f t="shared" si="12"/>
        <v>164.26110857161592</v>
      </c>
    </row>
    <row r="88" spans="1:19" x14ac:dyDescent="0.25">
      <c r="A88" t="s">
        <v>90</v>
      </c>
      <c r="B88">
        <v>165.55</v>
      </c>
      <c r="C88">
        <v>162.91</v>
      </c>
      <c r="E88">
        <v>3</v>
      </c>
      <c r="F88" s="2">
        <v>42614</v>
      </c>
      <c r="G88">
        <f t="shared" si="10"/>
        <v>165.55</v>
      </c>
      <c r="H88">
        <f t="shared" si="11"/>
        <v>162.91</v>
      </c>
      <c r="J88">
        <f t="shared" si="14"/>
        <v>163.44749999999999</v>
      </c>
      <c r="K88">
        <f t="shared" si="13"/>
        <v>1.0128634576851896</v>
      </c>
      <c r="R88">
        <f t="shared" si="9"/>
        <v>1.0217157645282833</v>
      </c>
      <c r="S88">
        <f t="shared" si="12"/>
        <v>162.03136503079494</v>
      </c>
    </row>
    <row r="89" spans="1:19" x14ac:dyDescent="0.25">
      <c r="A89" t="s">
        <v>91</v>
      </c>
      <c r="B89">
        <v>162.38999999999999</v>
      </c>
      <c r="C89">
        <v>162.76</v>
      </c>
      <c r="E89">
        <v>4</v>
      </c>
      <c r="F89" s="2">
        <v>42705</v>
      </c>
      <c r="G89">
        <f t="shared" si="10"/>
        <v>162.38999999999999</v>
      </c>
      <c r="H89">
        <f t="shared" si="11"/>
        <v>162.76</v>
      </c>
      <c r="J89">
        <f t="shared" si="14"/>
        <v>163.66625000000002</v>
      </c>
      <c r="K89">
        <f t="shared" si="13"/>
        <v>0.99220211864083141</v>
      </c>
      <c r="R89">
        <f t="shared" si="9"/>
        <v>1.005158592652424</v>
      </c>
      <c r="S89">
        <f t="shared" si="12"/>
        <v>161.55659533435752</v>
      </c>
    </row>
    <row r="90" spans="1:19" x14ac:dyDescent="0.25">
      <c r="A90" t="s">
        <v>92</v>
      </c>
      <c r="B90">
        <v>162.33000000000001</v>
      </c>
      <c r="C90">
        <v>164.34</v>
      </c>
      <c r="E90">
        <v>1</v>
      </c>
      <c r="F90" s="2">
        <v>42795</v>
      </c>
      <c r="G90">
        <f t="shared" si="10"/>
        <v>162.33000000000001</v>
      </c>
      <c r="H90">
        <f t="shared" si="11"/>
        <v>164.34</v>
      </c>
      <c r="J90">
        <f t="shared" si="14"/>
        <v>164.16749999999999</v>
      </c>
      <c r="K90">
        <f t="shared" si="13"/>
        <v>0.9888071634154143</v>
      </c>
      <c r="R90">
        <f t="shared" si="9"/>
        <v>0.97766929414083636</v>
      </c>
      <c r="S90">
        <f t="shared" si="12"/>
        <v>166.03773993194048</v>
      </c>
    </row>
    <row r="91" spans="1:19" x14ac:dyDescent="0.25">
      <c r="A91" t="s">
        <v>93</v>
      </c>
      <c r="B91">
        <v>165.04</v>
      </c>
      <c r="C91">
        <v>165.63</v>
      </c>
      <c r="E91">
        <v>2</v>
      </c>
      <c r="F91" s="2">
        <v>42887</v>
      </c>
      <c r="G91">
        <f t="shared" si="10"/>
        <v>165.04</v>
      </c>
      <c r="H91">
        <f t="shared" si="11"/>
        <v>165.63</v>
      </c>
      <c r="J91">
        <f t="shared" si="14"/>
        <v>165.03125</v>
      </c>
      <c r="K91">
        <f t="shared" si="13"/>
        <v>1.000053020261314</v>
      </c>
      <c r="R91">
        <f t="shared" si="9"/>
        <v>0.99688843831592022</v>
      </c>
      <c r="S91">
        <f t="shared" si="12"/>
        <v>165.55513501471444</v>
      </c>
    </row>
    <row r="92" spans="1:19" x14ac:dyDescent="0.25">
      <c r="A92" t="s">
        <v>94</v>
      </c>
      <c r="B92">
        <v>168.27</v>
      </c>
      <c r="C92">
        <v>166.16</v>
      </c>
      <c r="E92">
        <v>3</v>
      </c>
      <c r="F92" s="2">
        <v>42979</v>
      </c>
      <c r="G92">
        <f t="shared" si="10"/>
        <v>168.27</v>
      </c>
      <c r="H92">
        <f t="shared" si="11"/>
        <v>166.16</v>
      </c>
      <c r="J92">
        <f t="shared" si="14"/>
        <v>165.94125</v>
      </c>
      <c r="K92">
        <f t="shared" si="13"/>
        <v>1.0140335811620078</v>
      </c>
      <c r="R92">
        <f t="shared" si="9"/>
        <v>1.0217157645282833</v>
      </c>
      <c r="S92">
        <f t="shared" si="12"/>
        <v>164.69355357131903</v>
      </c>
    </row>
    <row r="93" spans="1:19" x14ac:dyDescent="0.25">
      <c r="A93" t="s">
        <v>95</v>
      </c>
      <c r="B93">
        <v>166.58</v>
      </c>
      <c r="C93">
        <v>167.15</v>
      </c>
      <c r="E93">
        <v>4</v>
      </c>
      <c r="F93" s="2">
        <v>43070</v>
      </c>
      <c r="G93">
        <f t="shared" si="10"/>
        <v>166.58</v>
      </c>
      <c r="H93">
        <f t="shared" si="11"/>
        <v>167.15</v>
      </c>
      <c r="J93">
        <f t="shared" si="14"/>
        <v>166.66125</v>
      </c>
      <c r="K93">
        <f t="shared" si="13"/>
        <v>0.99951248415573513</v>
      </c>
      <c r="R93">
        <f t="shared" si="9"/>
        <v>1.005158592652424</v>
      </c>
      <c r="S93">
        <f t="shared" si="12"/>
        <v>165.72509175932805</v>
      </c>
    </row>
    <row r="94" spans="1:19" x14ac:dyDescent="0.25">
      <c r="A94" t="s">
        <v>96</v>
      </c>
      <c r="B94">
        <v>165.42</v>
      </c>
      <c r="C94">
        <v>167.93</v>
      </c>
      <c r="E94">
        <v>1</v>
      </c>
      <c r="F94" s="2">
        <v>43160</v>
      </c>
      <c r="G94">
        <f t="shared" si="10"/>
        <v>165.42</v>
      </c>
      <c r="H94">
        <f t="shared" si="11"/>
        <v>167.93</v>
      </c>
      <c r="J94">
        <f t="shared" si="14"/>
        <v>167.42750000000001</v>
      </c>
      <c r="K94">
        <f t="shared" si="13"/>
        <v>0.9880097355571813</v>
      </c>
      <c r="R94">
        <f t="shared" si="9"/>
        <v>0.97766929414083636</v>
      </c>
      <c r="S94">
        <f t="shared" si="12"/>
        <v>169.19831786817957</v>
      </c>
    </row>
    <row r="95" spans="1:19" x14ac:dyDescent="0.25">
      <c r="A95" t="s">
        <v>97</v>
      </c>
      <c r="B95">
        <v>167.71</v>
      </c>
      <c r="C95">
        <v>167.9</v>
      </c>
      <c r="E95">
        <v>2</v>
      </c>
      <c r="F95" s="2">
        <v>43252</v>
      </c>
      <c r="G95">
        <f t="shared" si="10"/>
        <v>167.71</v>
      </c>
      <c r="H95">
        <f t="shared" si="11"/>
        <v>167.9</v>
      </c>
      <c r="J95">
        <f t="shared" si="14"/>
        <v>168.18375</v>
      </c>
      <c r="K95">
        <f t="shared" si="13"/>
        <v>0.99718314046392709</v>
      </c>
      <c r="R95">
        <f t="shared" si="9"/>
        <v>0.99688843831592022</v>
      </c>
      <c r="S95">
        <f t="shared" si="12"/>
        <v>168.2334688155463</v>
      </c>
    </row>
    <row r="96" spans="1:19" x14ac:dyDescent="0.25">
      <c r="A96" t="s">
        <v>98</v>
      </c>
      <c r="B96">
        <v>171.73</v>
      </c>
      <c r="C96">
        <v>169.4</v>
      </c>
      <c r="E96">
        <v>3</v>
      </c>
      <c r="F96" s="2">
        <v>43344</v>
      </c>
      <c r="G96">
        <f t="shared" si="10"/>
        <v>171.73</v>
      </c>
      <c r="H96">
        <f t="shared" si="11"/>
        <v>169.4</v>
      </c>
      <c r="J96">
        <f t="shared" si="14"/>
        <v>168.69375000000002</v>
      </c>
      <c r="K96">
        <f t="shared" si="13"/>
        <v>1.0179985921233001</v>
      </c>
      <c r="R96">
        <f t="shared" si="9"/>
        <v>1.0217157645282833</v>
      </c>
      <c r="S96">
        <f t="shared" si="12"/>
        <v>168.08001399419157</v>
      </c>
    </row>
    <row r="97" spans="1:19" x14ac:dyDescent="0.25">
      <c r="A97" t="s">
        <v>99</v>
      </c>
      <c r="B97">
        <v>169.17</v>
      </c>
      <c r="C97">
        <v>169.07</v>
      </c>
      <c r="E97">
        <v>4</v>
      </c>
      <c r="F97" s="2">
        <v>43435</v>
      </c>
      <c r="G97">
        <f t="shared" si="10"/>
        <v>169.17</v>
      </c>
      <c r="H97">
        <f t="shared" si="11"/>
        <v>169.07</v>
      </c>
      <c r="J97">
        <f t="shared" si="14"/>
        <v>169.12625</v>
      </c>
      <c r="K97">
        <f t="shared" si="13"/>
        <v>1.0002586824931079</v>
      </c>
      <c r="R97">
        <f t="shared" si="9"/>
        <v>1.005158592652424</v>
      </c>
      <c r="S97">
        <f t="shared" si="12"/>
        <v>168.30179957333127</v>
      </c>
    </row>
    <row r="98" spans="1:19" x14ac:dyDescent="0.25">
      <c r="A98" t="s">
        <v>100</v>
      </c>
      <c r="B98">
        <v>166.91</v>
      </c>
      <c r="C98">
        <v>169.54</v>
      </c>
      <c r="E98">
        <v>1</v>
      </c>
      <c r="F98" s="2">
        <v>43525</v>
      </c>
      <c r="G98">
        <f t="shared" si="10"/>
        <v>166.91</v>
      </c>
      <c r="H98">
        <f t="shared" si="11"/>
        <v>169.54</v>
      </c>
      <c r="J98">
        <f t="shared" si="14"/>
        <v>169.61124999999998</v>
      </c>
      <c r="K98">
        <f t="shared" si="13"/>
        <v>0.98407387481667641</v>
      </c>
      <c r="R98">
        <f t="shared" ref="R98:R121" si="15">VLOOKUP(E98,$M$8:$P$11,4,0)</f>
        <v>0.97766929414083636</v>
      </c>
      <c r="S98">
        <f t="shared" si="12"/>
        <v>170.72235059471561</v>
      </c>
    </row>
    <row r="99" spans="1:19" x14ac:dyDescent="0.25">
      <c r="A99" t="s">
        <v>101</v>
      </c>
      <c r="B99">
        <v>169.68</v>
      </c>
      <c r="C99">
        <v>170.56</v>
      </c>
      <c r="E99">
        <v>2</v>
      </c>
      <c r="F99" s="2">
        <v>43617</v>
      </c>
      <c r="G99">
        <f t="shared" si="10"/>
        <v>169.68</v>
      </c>
      <c r="H99">
        <f t="shared" si="11"/>
        <v>170.56</v>
      </c>
      <c r="J99">
        <f t="shared" si="14"/>
        <v>170.20750000000001</v>
      </c>
      <c r="K99">
        <f t="shared" si="13"/>
        <v>0.99690084161978765</v>
      </c>
      <c r="R99">
        <f t="shared" si="15"/>
        <v>0.99688843831592022</v>
      </c>
      <c r="S99">
        <f t="shared" si="12"/>
        <v>170.20961772477429</v>
      </c>
    </row>
    <row r="100" spans="1:19" x14ac:dyDescent="0.25">
      <c r="A100" t="s">
        <v>102</v>
      </c>
      <c r="B100">
        <v>173.64</v>
      </c>
      <c r="C100">
        <v>170.49</v>
      </c>
      <c r="E100">
        <v>3</v>
      </c>
      <c r="F100" s="2">
        <v>43709</v>
      </c>
      <c r="G100">
        <f t="shared" si="10"/>
        <v>173.64</v>
      </c>
      <c r="H100">
        <f t="shared" si="11"/>
        <v>170.49</v>
      </c>
      <c r="J100">
        <f t="shared" si="14"/>
        <v>170.65124999999998</v>
      </c>
      <c r="K100">
        <f t="shared" si="13"/>
        <v>1.0175137890873933</v>
      </c>
      <c r="R100">
        <f t="shared" si="15"/>
        <v>1.0217157645282833</v>
      </c>
      <c r="S100">
        <f t="shared" si="12"/>
        <v>169.94941844728018</v>
      </c>
    </row>
    <row r="101" spans="1:19" x14ac:dyDescent="0.25">
      <c r="A101" t="s">
        <v>103</v>
      </c>
      <c r="B101">
        <v>172.03</v>
      </c>
      <c r="C101">
        <v>171.9</v>
      </c>
      <c r="E101">
        <v>4</v>
      </c>
      <c r="F101" s="2">
        <v>43800</v>
      </c>
      <c r="G101">
        <f t="shared" si="10"/>
        <v>172.03</v>
      </c>
      <c r="H101">
        <f t="shared" si="11"/>
        <v>171.9</v>
      </c>
      <c r="J101">
        <f t="shared" si="14"/>
        <v>168.58750000000001</v>
      </c>
      <c r="K101">
        <f t="shared" si="13"/>
        <v>1.0204196633795506</v>
      </c>
      <c r="R101">
        <f t="shared" si="15"/>
        <v>1.005158592652424</v>
      </c>
      <c r="S101">
        <f t="shared" si="12"/>
        <v>171.14712171543525</v>
      </c>
    </row>
    <row r="102" spans="1:19" x14ac:dyDescent="0.25">
      <c r="A102" t="s">
        <v>104</v>
      </c>
      <c r="B102">
        <v>167.6</v>
      </c>
      <c r="C102">
        <v>168.1</v>
      </c>
      <c r="E102">
        <v>1</v>
      </c>
      <c r="F102" s="2">
        <v>43891</v>
      </c>
      <c r="G102">
        <f t="shared" si="10"/>
        <v>167.6</v>
      </c>
      <c r="H102">
        <f t="shared" si="11"/>
        <v>168.1</v>
      </c>
      <c r="J102">
        <f t="shared" si="14"/>
        <v>165.77875</v>
      </c>
      <c r="K102">
        <f t="shared" si="13"/>
        <v>1.0109860280645135</v>
      </c>
      <c r="R102">
        <f t="shared" si="15"/>
        <v>0.97766929414083636</v>
      </c>
      <c r="S102">
        <f t="shared" si="12"/>
        <v>171.42811071640006</v>
      </c>
    </row>
    <row r="103" spans="1:19" x14ac:dyDescent="0.25">
      <c r="A103" t="s">
        <v>105</v>
      </c>
      <c r="B103">
        <v>152.47999999999999</v>
      </c>
      <c r="C103">
        <v>153.26</v>
      </c>
      <c r="E103">
        <v>2</v>
      </c>
      <c r="F103" s="2">
        <v>43983</v>
      </c>
      <c r="G103">
        <f t="shared" si="10"/>
        <v>152.47999999999999</v>
      </c>
      <c r="H103">
        <f t="shared" si="11"/>
        <v>153.26</v>
      </c>
      <c r="J103">
        <f t="shared" si="14"/>
        <v>165.04875000000001</v>
      </c>
      <c r="K103">
        <f t="shared" si="13"/>
        <v>0.92384825695438455</v>
      </c>
      <c r="R103">
        <f t="shared" si="15"/>
        <v>0.99688843831592022</v>
      </c>
      <c r="S103">
        <f t="shared" si="12"/>
        <v>152.95593181679385</v>
      </c>
    </row>
    <row r="104" spans="1:19" x14ac:dyDescent="0.25">
      <c r="A104" t="s">
        <v>106</v>
      </c>
      <c r="B104">
        <v>168.37</v>
      </c>
      <c r="C104">
        <v>165.33</v>
      </c>
      <c r="E104">
        <v>3</v>
      </c>
      <c r="F104" s="2">
        <v>44075</v>
      </c>
      <c r="G104">
        <f t="shared" si="10"/>
        <v>168.37</v>
      </c>
      <c r="H104">
        <f t="shared" si="11"/>
        <v>165.33</v>
      </c>
      <c r="J104">
        <f t="shared" si="14"/>
        <v>165.34375</v>
      </c>
      <c r="K104">
        <f t="shared" si="13"/>
        <v>1.0183027783027783</v>
      </c>
      <c r="R104">
        <f t="shared" si="15"/>
        <v>1.0217157645282833</v>
      </c>
      <c r="S104">
        <f t="shared" si="12"/>
        <v>164.79142815001478</v>
      </c>
    </row>
    <row r="105" spans="1:19" x14ac:dyDescent="0.25">
      <c r="A105" t="s">
        <v>107</v>
      </c>
      <c r="B105">
        <v>171.46</v>
      </c>
      <c r="C105">
        <v>171.46</v>
      </c>
      <c r="E105">
        <v>4</v>
      </c>
      <c r="F105" s="2">
        <v>44166</v>
      </c>
      <c r="G105">
        <f t="shared" si="10"/>
        <v>171.46</v>
      </c>
      <c r="H105">
        <f t="shared" si="11"/>
        <v>171.46</v>
      </c>
      <c r="J105">
        <f t="shared" si="14"/>
        <v>168.07249999999999</v>
      </c>
      <c r="K105">
        <f t="shared" si="13"/>
        <v>1.0201549926371061</v>
      </c>
      <c r="R105">
        <f t="shared" si="15"/>
        <v>1.005158592652424</v>
      </c>
      <c r="S105">
        <f t="shared" si="12"/>
        <v>170.58004702277816</v>
      </c>
    </row>
    <row r="106" spans="1:19" x14ac:dyDescent="0.25">
      <c r="A106" t="s">
        <v>108</v>
      </c>
      <c r="B106">
        <v>170.53</v>
      </c>
      <c r="C106">
        <v>173.15</v>
      </c>
      <c r="E106">
        <v>1</v>
      </c>
      <c r="F106" s="2">
        <v>44256</v>
      </c>
      <c r="G106">
        <f t="shared" si="10"/>
        <v>170.53</v>
      </c>
      <c r="H106">
        <f t="shared" si="11"/>
        <v>173.15</v>
      </c>
      <c r="J106">
        <f t="shared" si="14"/>
        <v>171.32125000000002</v>
      </c>
      <c r="K106">
        <f t="shared" si="13"/>
        <v>0.99538148361630552</v>
      </c>
      <c r="R106">
        <f t="shared" si="15"/>
        <v>0.97766929414083636</v>
      </c>
      <c r="S106">
        <f t="shared" si="12"/>
        <v>174.42503413166887</v>
      </c>
    </row>
    <row r="107" spans="1:19" x14ac:dyDescent="0.25">
      <c r="A107" t="s">
        <v>109</v>
      </c>
      <c r="B107">
        <v>171.38</v>
      </c>
      <c r="C107">
        <v>172.05</v>
      </c>
      <c r="E107">
        <v>2</v>
      </c>
      <c r="F107" s="2">
        <v>44348</v>
      </c>
      <c r="G107">
        <f t="shared" si="10"/>
        <v>171.38</v>
      </c>
      <c r="H107">
        <f t="shared" si="11"/>
        <v>172.05</v>
      </c>
      <c r="J107">
        <f t="shared" si="14"/>
        <v>172.52</v>
      </c>
      <c r="K107">
        <f t="shared" si="13"/>
        <v>0.99339207048458145</v>
      </c>
      <c r="R107">
        <f t="shared" si="15"/>
        <v>0.99688843831592022</v>
      </c>
      <c r="S107">
        <f t="shared" si="12"/>
        <v>171.91492389009792</v>
      </c>
    </row>
    <row r="108" spans="1:19" x14ac:dyDescent="0.25">
      <c r="A108" t="s">
        <v>110</v>
      </c>
      <c r="B108">
        <v>175.46</v>
      </c>
      <c r="C108">
        <v>172.24</v>
      </c>
      <c r="E108">
        <v>3</v>
      </c>
      <c r="F108" s="2">
        <v>44440</v>
      </c>
      <c r="G108">
        <f t="shared" si="10"/>
        <v>175.46</v>
      </c>
      <c r="H108">
        <f t="shared" si="11"/>
        <v>172.24</v>
      </c>
      <c r="J108">
        <f t="shared" si="14"/>
        <v>173.14749999999998</v>
      </c>
      <c r="K108">
        <f t="shared" si="13"/>
        <v>1.01335566496773</v>
      </c>
      <c r="R108">
        <f t="shared" si="15"/>
        <v>1.0217157645282833</v>
      </c>
      <c r="S108">
        <f t="shared" si="12"/>
        <v>171.73073577954264</v>
      </c>
    </row>
    <row r="109" spans="1:19" x14ac:dyDescent="0.25">
      <c r="A109" t="s">
        <v>111</v>
      </c>
      <c r="B109">
        <v>173.96</v>
      </c>
      <c r="C109">
        <v>174.3</v>
      </c>
      <c r="E109">
        <v>4</v>
      </c>
      <c r="F109" s="2">
        <v>44531</v>
      </c>
      <c r="G109">
        <f t="shared" si="10"/>
        <v>173.96</v>
      </c>
      <c r="H109">
        <f t="shared" si="11"/>
        <v>174.3</v>
      </c>
      <c r="J109">
        <f t="shared" si="14"/>
        <v>174.22125</v>
      </c>
      <c r="K109">
        <f t="shared" si="13"/>
        <v>0.99850046994841335</v>
      </c>
      <c r="R109">
        <f t="shared" si="15"/>
        <v>1.005158592652424</v>
      </c>
      <c r="S109">
        <f t="shared" si="12"/>
        <v>173.06721672741449</v>
      </c>
    </row>
    <row r="110" spans="1:19" x14ac:dyDescent="0.25">
      <c r="A110" t="s">
        <v>112</v>
      </c>
      <c r="B110">
        <v>173.05</v>
      </c>
      <c r="C110">
        <v>175.79</v>
      </c>
      <c r="E110">
        <v>1</v>
      </c>
      <c r="F110" s="2">
        <v>44621</v>
      </c>
      <c r="G110">
        <f t="shared" si="10"/>
        <v>173.05</v>
      </c>
      <c r="H110">
        <f t="shared" si="11"/>
        <v>175.79</v>
      </c>
      <c r="J110">
        <f t="shared" si="14"/>
        <v>175.92750000000001</v>
      </c>
      <c r="K110">
        <f t="shared" si="13"/>
        <v>0.98364383055520033</v>
      </c>
      <c r="R110">
        <f t="shared" si="15"/>
        <v>0.97766929414083636</v>
      </c>
      <c r="S110">
        <f t="shared" si="12"/>
        <v>177.00259283695127</v>
      </c>
    </row>
    <row r="111" spans="1:19" x14ac:dyDescent="0.25">
      <c r="A111" t="s">
        <v>113</v>
      </c>
      <c r="B111">
        <v>177.45</v>
      </c>
      <c r="C111">
        <v>177.78</v>
      </c>
      <c r="E111">
        <v>2</v>
      </c>
      <c r="F111" s="2">
        <v>44713</v>
      </c>
      <c r="G111">
        <f t="shared" si="10"/>
        <v>177.45</v>
      </c>
      <c r="H111">
        <f t="shared" si="11"/>
        <v>177.78</v>
      </c>
      <c r="J111">
        <f t="shared" si="14"/>
        <v>177.46125000000001</v>
      </c>
      <c r="K111">
        <f t="shared" si="13"/>
        <v>0.99993660587874811</v>
      </c>
      <c r="R111">
        <f t="shared" si="15"/>
        <v>0.99688843831592022</v>
      </c>
      <c r="S111">
        <f t="shared" si="12"/>
        <v>178.00387002157706</v>
      </c>
    </row>
    <row r="112" spans="1:19" x14ac:dyDescent="0.25">
      <c r="A112" t="s">
        <v>114</v>
      </c>
      <c r="B112">
        <v>183.04</v>
      </c>
      <c r="C112">
        <v>179.45</v>
      </c>
      <c r="E112">
        <v>3</v>
      </c>
      <c r="F112" s="2">
        <v>44805</v>
      </c>
      <c r="G112">
        <f t="shared" si="10"/>
        <v>183.04</v>
      </c>
      <c r="H112">
        <f t="shared" si="11"/>
        <v>179.45</v>
      </c>
      <c r="J112">
        <f t="shared" si="14"/>
        <v>179.00874999999999</v>
      </c>
      <c r="K112">
        <f t="shared" si="13"/>
        <v>1.0225198488900682</v>
      </c>
      <c r="R112">
        <f t="shared" si="15"/>
        <v>1.0217157645282833</v>
      </c>
      <c r="S112">
        <f t="shared" si="12"/>
        <v>179.1496288446796</v>
      </c>
    </row>
    <row r="113" spans="1:19" x14ac:dyDescent="0.25">
      <c r="A113" t="s">
        <v>115</v>
      </c>
      <c r="B113">
        <v>178.65</v>
      </c>
      <c r="C113">
        <v>180.39</v>
      </c>
      <c r="E113">
        <v>4</v>
      </c>
      <c r="F113" s="2">
        <v>44896</v>
      </c>
      <c r="G113">
        <f t="shared" si="10"/>
        <v>178.65</v>
      </c>
      <c r="H113">
        <f t="shared" si="11"/>
        <v>180.39</v>
      </c>
      <c r="J113">
        <f t="shared" si="14"/>
        <v>180.82374999999999</v>
      </c>
      <c r="K113">
        <f t="shared" si="13"/>
        <v>0.98797862559536576</v>
      </c>
      <c r="R113">
        <f t="shared" si="15"/>
        <v>1.005158592652424</v>
      </c>
      <c r="S113">
        <f t="shared" si="12"/>
        <v>177.73314709331225</v>
      </c>
    </row>
    <row r="114" spans="1:19" x14ac:dyDescent="0.25">
      <c r="A114" t="s">
        <v>116</v>
      </c>
      <c r="B114">
        <v>180.74</v>
      </c>
      <c r="C114">
        <v>182.85</v>
      </c>
      <c r="E114">
        <v>1</v>
      </c>
      <c r="F114" s="2">
        <v>44986</v>
      </c>
      <c r="G114">
        <f t="shared" si="10"/>
        <v>180.74</v>
      </c>
      <c r="H114">
        <f t="shared" si="11"/>
        <v>182.85</v>
      </c>
      <c r="J114">
        <f t="shared" si="14"/>
        <v>182.21624999999997</v>
      </c>
      <c r="K114">
        <f t="shared" si="13"/>
        <v>0.99189836252255237</v>
      </c>
      <c r="R114">
        <f t="shared" si="15"/>
        <v>0.97766929414083636</v>
      </c>
      <c r="S114">
        <f t="shared" si="12"/>
        <v>184.86823825108681</v>
      </c>
    </row>
    <row r="115" spans="1:19" x14ac:dyDescent="0.25">
      <c r="A115" t="s">
        <v>117</v>
      </c>
      <c r="B115">
        <v>184.28</v>
      </c>
      <c r="C115">
        <v>184.19</v>
      </c>
      <c r="E115">
        <v>2</v>
      </c>
      <c r="F115" s="2">
        <v>45078</v>
      </c>
      <c r="G115">
        <f t="shared" si="10"/>
        <v>184.28</v>
      </c>
      <c r="H115">
        <f t="shared" si="11"/>
        <v>184.19</v>
      </c>
      <c r="J115">
        <f t="shared" si="14"/>
        <v>183.28625000000002</v>
      </c>
      <c r="K115">
        <f t="shared" si="13"/>
        <v>1.0054218469743366</v>
      </c>
      <c r="R115">
        <f t="shared" si="15"/>
        <v>0.99688843831592022</v>
      </c>
      <c r="S115">
        <f t="shared" si="12"/>
        <v>184.85518832108323</v>
      </c>
    </row>
    <row r="116" spans="1:19" x14ac:dyDescent="0.25">
      <c r="A116" t="s">
        <v>118</v>
      </c>
      <c r="B116">
        <v>187.35</v>
      </c>
      <c r="C116">
        <v>184.35</v>
      </c>
      <c r="E116">
        <v>3</v>
      </c>
      <c r="F116" s="2">
        <v>45170</v>
      </c>
      <c r="G116">
        <f t="shared" si="10"/>
        <v>187.35</v>
      </c>
      <c r="H116">
        <f t="shared" si="11"/>
        <v>184.35</v>
      </c>
      <c r="J116">
        <f t="shared" si="14"/>
        <v>184.39500000000001</v>
      </c>
      <c r="K116">
        <f t="shared" si="13"/>
        <v>1.0160253802977304</v>
      </c>
      <c r="R116">
        <f t="shared" si="15"/>
        <v>1.0217157645282833</v>
      </c>
      <c r="S116">
        <f t="shared" si="12"/>
        <v>183.3680231864659</v>
      </c>
    </row>
    <row r="117" spans="1:19" x14ac:dyDescent="0.25">
      <c r="A117" t="s">
        <v>119</v>
      </c>
      <c r="B117">
        <v>182.9</v>
      </c>
      <c r="C117">
        <v>185.08</v>
      </c>
      <c r="E117">
        <v>4</v>
      </c>
      <c r="F117" s="2">
        <v>45261</v>
      </c>
      <c r="G117">
        <f t="shared" si="10"/>
        <v>182.9</v>
      </c>
      <c r="H117">
        <f t="shared" si="11"/>
        <v>185.08</v>
      </c>
      <c r="J117">
        <f t="shared" si="14"/>
        <v>185.74125000000001</v>
      </c>
      <c r="K117">
        <f t="shared" si="13"/>
        <v>0.98470318251869193</v>
      </c>
      <c r="R117">
        <f t="shared" si="15"/>
        <v>1.005158592652424</v>
      </c>
      <c r="S117">
        <f t="shared" si="12"/>
        <v>181.961335591194</v>
      </c>
    </row>
    <row r="118" spans="1:19" x14ac:dyDescent="0.25">
      <c r="A118" t="s">
        <v>120</v>
      </c>
      <c r="B118">
        <v>185.36</v>
      </c>
      <c r="C118">
        <v>186.91</v>
      </c>
      <c r="E118">
        <v>1</v>
      </c>
      <c r="F118" s="2">
        <v>45352</v>
      </c>
      <c r="G118">
        <f t="shared" si="10"/>
        <v>185.36</v>
      </c>
      <c r="H118">
        <f t="shared" si="11"/>
        <v>186.91</v>
      </c>
      <c r="J118">
        <f t="shared" si="14"/>
        <v>187.45875000000001</v>
      </c>
      <c r="K118">
        <f t="shared" si="13"/>
        <v>0.98880420359145682</v>
      </c>
      <c r="R118">
        <f t="shared" si="15"/>
        <v>0.97766929414083636</v>
      </c>
      <c r="S118">
        <f t="shared" si="12"/>
        <v>189.59376254410452</v>
      </c>
    </row>
    <row r="119" spans="1:19" x14ac:dyDescent="0.25">
      <c r="A119" t="s">
        <v>121</v>
      </c>
      <c r="B119">
        <v>190.43</v>
      </c>
      <c r="C119">
        <v>189.37</v>
      </c>
      <c r="E119">
        <v>2</v>
      </c>
      <c r="F119" s="2">
        <v>45444</v>
      </c>
      <c r="G119">
        <f t="shared" si="10"/>
        <v>190.43</v>
      </c>
      <c r="H119">
        <f t="shared" si="11"/>
        <v>189.37</v>
      </c>
      <c r="J119">
        <f t="shared" si="14"/>
        <v>189.23375000000001</v>
      </c>
      <c r="K119">
        <f t="shared" si="13"/>
        <v>1.0063215467642532</v>
      </c>
      <c r="R119">
        <f t="shared" si="15"/>
        <v>0.99688843831592022</v>
      </c>
      <c r="S119">
        <f t="shared" si="12"/>
        <v>191.02438415445997</v>
      </c>
    </row>
    <row r="120" spans="1:19" x14ac:dyDescent="0.25">
      <c r="A120" t="s">
        <v>122</v>
      </c>
      <c r="B120">
        <v>194.94</v>
      </c>
      <c r="C120">
        <v>190.78</v>
      </c>
      <c r="E120">
        <v>3</v>
      </c>
      <c r="F120" s="2">
        <v>45536</v>
      </c>
      <c r="G120">
        <f t="shared" si="10"/>
        <v>194.94</v>
      </c>
      <c r="H120">
        <f t="shared" si="11"/>
        <v>190.78</v>
      </c>
      <c r="R120">
        <f t="shared" si="15"/>
        <v>1.0217157645282833</v>
      </c>
      <c r="S120">
        <f t="shared" si="12"/>
        <v>190.79670370947247</v>
      </c>
    </row>
    <row r="121" spans="1:19" x14ac:dyDescent="0.25">
      <c r="A121" t="s">
        <v>123</v>
      </c>
      <c r="B121">
        <v>189.51</v>
      </c>
      <c r="C121">
        <v>191.11</v>
      </c>
      <c r="E121">
        <v>4</v>
      </c>
      <c r="F121" s="2">
        <v>45627</v>
      </c>
      <c r="G121">
        <f t="shared" si="10"/>
        <v>189.51</v>
      </c>
      <c r="H121">
        <f t="shared" si="11"/>
        <v>191.11</v>
      </c>
      <c r="R121">
        <f t="shared" si="15"/>
        <v>1.005158592652424</v>
      </c>
      <c r="S121">
        <f t="shared" si="12"/>
        <v>188.53741229025246</v>
      </c>
    </row>
    <row r="122" spans="1:19" x14ac:dyDescent="0.25">
      <c r="A122" t="s">
        <v>124</v>
      </c>
      <c r="B122" t="s">
        <v>125</v>
      </c>
      <c r="C122" t="s">
        <v>125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STP-20250425103853641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SILVIO MICHAEL DE AZEVEDO COSTA</cp:lastModifiedBy>
  <dcterms:created xsi:type="dcterms:W3CDTF">2025-04-25T17:58:18Z</dcterms:created>
  <dcterms:modified xsi:type="dcterms:W3CDTF">2026-03-30T14:45:08Z</dcterms:modified>
</cp:coreProperties>
</file>